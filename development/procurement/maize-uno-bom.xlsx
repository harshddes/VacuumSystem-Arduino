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bf7d33892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ping" sheetId="1" r:id="Rbb7b5d5a1b6b4a29"/>
    <x:sheet xmlns:r="http://schemas.openxmlformats.org/officeDocument/2006/relationships" name="Hardware" sheetId="2" r:id="R552291666cae4fd6"/>
    <x:sheet xmlns:r="http://schemas.openxmlformats.org/officeDocument/2006/relationships" name="Acceptance" sheetId="3" r:id="Ra0f63aaabe8a42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6">
    <x:font>
      <x:sz val="11"/>
      <x:name val="Carlito"/>
    </x:font>
    <x:font>
      <x:sz val="10"/>
      <x:color rgb="FF22313F"/>
      <x:name val="Arial"/>
    </x:font>
    <x:font>
      <x:b/>
      <x:sz val="17"/>
      <x:color rgb="FFFFFFFF"/>
      <x:name val="Arial"/>
    </x:font>
    <x:font>
      <x:b/>
      <x:sz val="10"/>
      <x:color rgb="FF17354A"/>
      <x:name val="Arial"/>
    </x:font>
    <x:font>
      <x:b/>
      <x:sz val="14"/>
      <x:color rgb="FF17354A"/>
      <x:name val="Arial"/>
    </x:font>
    <x:font>
      <x:sz val="9"/>
      <x:color rgb="FF245A8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E"/>
      </x:patternFill>
    </x:fill>
    <x:fill>
      <x:patternFill patternType="solid">
        <x:fgColor rgb="FF17354A"/>
      </x:patternFill>
    </x:fill>
    <x:fill>
      <x:patternFill patternType="solid">
        <x:fgColor rgb="FFDDE8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2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1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994a0311c4a33" /><Relationship Type="http://schemas.openxmlformats.org/officeDocument/2006/relationships/theme" Target="/xl/theme/theme1.xml" Id="R657c13f0c6394038" /><Relationship Type="http://schemas.openxmlformats.org/officeDocument/2006/relationships/sharedStrings" Target="/xl/sharedStrings.xml" Id="R5dacbe2f154b4b09" /><Relationship Type="http://schemas.openxmlformats.org/officeDocument/2006/relationships/worksheet" Target="/xl/worksheets/sheet1.xml" Id="Rbb7b5d5a1b6b4a29" /><Relationship Type="http://schemas.openxmlformats.org/officeDocument/2006/relationships/worksheet" Target="/xl/worksheets/sheet2.xml" Id="R552291666cae4fd6" /><Relationship Type="http://schemas.openxmlformats.org/officeDocument/2006/relationships/worksheet" Target="/xl/worksheets/sheet3.xml" Id="Ra0f63aaabe8a42f1" /></Relationships>
</file>

<file path=xl/tables/table1.xml><?xml version="1.0" encoding="utf-8"?>
<x:table xmlns:x="http://schemas.openxmlformats.org/spreadsheetml/2006/main" id="1" name="ProcurementTable" displayName="ProcurementTable" ref="A11:M63" headerRowCount="1" totalsRowCount="0" totalsRowShown="0">
  <x:tableColumns count="13">
    <x:tableColumn id="1" name="ID"/>
    <x:tableColumn id="2" name="Phase"/>
    <x:tableColumn id="3" name="Decision"/>
    <x:tableColumn id="4" name="Item / order unit"/>
    <x:tableColumn id="5" name="Qty"/>
    <x:tableColumn id="6" name="USD/unit"/>
    <x:tableColumn id="7" name="USD/line"/>
    <x:tableColumn id="8" name="Required specification"/>
    <x:tableColumn id="9" name="Supplier / part"/>
    <x:tableColumn id="10" name="Stock checked 07/10/2026"/>
    <x:tableColumn id="11" name="Confirm before ordering"/>
    <x:tableColumn id="12" name="Product / evidence URL"/>
    <x:tableColumn id="13" name="Review evidence / cavea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HardwareRegister" displayName="HardwareRegister" ref="A4:G21" headerRowCount="1" totalsRowCount="0" totalsRowShown="0">
  <x:tableColumns count="7">
    <x:tableColumn id="1" name="ID"/>
    <x:tableColumn id="2" name="Assembly"/>
    <x:tableColumn id="3" name="Observed evidence"/>
    <x:tableColumn id="4" name="Remaining uncertainty"/>
    <x:tableColumn id="5" name="Exact information needed"/>
    <x:tableColumn id="6" name="User finding / terminal map"/>
    <x:tableColumn id="7" name="Status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PhaseRegister" displayName="PhaseRegister" ref="A4:H10" headerRowCount="1" totalsRowCount="0" totalsRowShown="0">
  <x:tableColumns count="8">
    <x:tableColumn id="1" name="ID"/>
    <x:tableColumn id="2" name="Phase"/>
    <x:tableColumn id="3" name="Build objective"/>
    <x:tableColumn id="4" name="Essential hardware / boundary"/>
    <x:tableColumn id="5" name="Implementation"/>
    <x:tableColumn id="6" name="Exit criterion"/>
    <x:tableColumn id="7" name="Evidence / date / operator"/>
    <x:tableColumn id="8" name="Result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AcceptanceCases" displayName="AcceptanceCases" ref="A13:G27" headerRowCount="1" totalsRowCount="0" totalsRowShown="0">
  <x:tableColumns count="7">
    <x:tableColumn id="1" name="ID"/>
    <x:tableColumn id="2" name="Phase"/>
    <x:tableColumn id="3" name="Fault / condition"/>
    <x:tableColumn id="4" name="Required response"/>
    <x:tableColumn id="5" name="How to demonstrate"/>
    <x:tableColumn id="6" name="Evidence / date / operator"/>
    <x:tableColumn id="7" name="Result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5d9544e4674f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50b87d381f41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e36a2245794925" /><Relationship Type="http://schemas.openxmlformats.org/officeDocument/2006/relationships/table" Target="/xl/tables/table4.xml" Id="R0ff7329794244ce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6.110000133514404" hidden="0" customWidth="1"/>
    <x:col min="2" max="2" width="7.329999923706055" hidden="0" customWidth="1"/>
    <x:col min="3" max="3" width="10.4399995803833" hidden="0" customWidth="1"/>
    <x:col min="4" max="4" width="27.219999313354492" hidden="0" customWidth="1"/>
    <x:col min="5" max="5" width="6.110000133514404" hidden="0" customWidth="1"/>
    <x:col min="6" max="6" width="8.890000343322754" hidden="0" customWidth="1"/>
    <x:col min="7" max="7" width="9.4399995803833" hidden="0" customWidth="1"/>
    <x:col min="8" max="8" width="35" hidden="0" customWidth="1"/>
    <x:col min="9" max="9" width="26.670000076293945" hidden="0" customWidth="1"/>
    <x:col min="10" max="10" width="16.670000076293945" hidden="0" customWidth="1"/>
    <x:col min="11" max="11" width="35" hidden="0" customWidth="1"/>
    <x:col min="12" max="12" width="33.33000183105469" hidden="0" customWidth="1"/>
    <x:col min="13" max="13" width="34.439998626708984" hidden="0" customWidth="1"/>
  </x:cols>
  <x:sheetData>
    <x:row r="1" ht="33.75" customHeight="1">
      <x:c r="A1" s="21" t="str">
        <x:v>MAIZE • UNO R3 PROCUREMENT &amp; DEVELOPMENT</x:v>
      </x:c>
      <x:c r="B1" s="21"/>
      <x:c r="C1" s="21"/>
      <x:c r="D1" s="21"/>
      <x:c r="E1" s="21"/>
      <x:c r="F1" s="21"/>
      <x:c r="G1" s="21"/>
      <x:c r="H1" s="15"/>
      <x:c r="I1" s="15"/>
      <x:c r="J1" s="15"/>
      <x:c r="K1" s="15"/>
      <x:c r="L1" s="15"/>
      <x:c r="M1" s="15"/>
    </x:row>
    <x:row r="2" ht="31.5" customHeight="1">
      <x:c r="A2" s="15" t="str">
        <x:v>Rev 09/10/2026 • USD excl. shipping/tax/tariffs • Five build phases; price-check dates are recorded per line.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 ht="21" customHeight="1">
      <x:c r="A4" s="15" t="str">
        <x:v>Phase 1 buy-now packs (wires optional)</x:v>
      </x:c>
      <x:c r="B4" s="15"/>
      <x:c r="C4" s="15"/>
      <x:c r="D4" s="15"/>
      <x:c r="E4" s="24" t="n">
        <x:f>SUMIF(C12:C63,"Buy now",G12:G63)</x:f>
        <x:v>8.2</x:v>
      </x:c>
      <x:c r="F4" s="24"/>
      <x:c r="G4" s="24"/>
      <x:c r="H4" s="15" t="str">
        <x:v>$8.20 bench packs; optional 40-wire purchase adds $3.90. HOLD is not a full-system quote; model-dependent unknown prices remain Quote.</x:v>
      </x:c>
      <x:c r="I4" s="15"/>
      <x:c r="J4" s="15"/>
      <x:c r="K4" s="15"/>
      <x:c r="L4" s="15"/>
      <x:c r="M4" s="15"/>
    </x:row>
    <x:row r="5" ht="21" customHeight="1">
      <x:c r="A5" s="15" t="str">
        <x:v>Priced HOLD candidates only</x:v>
      </x:c>
      <x:c r="B5" s="15"/>
      <x:c r="C5" s="15"/>
      <x:c r="D5" s="15"/>
      <x:c r="E5" s="24" t="n">
        <x:f>SUMIF(C12:C63,"Hold",G12:G63)</x:f>
        <x:v>1003.5</x:v>
      </x:c>
      <x:c r="F5" s="24"/>
      <x:c r="G5" s="24"/>
      <x:c r="H5" s="15"/>
      <x:c r="I5" s="15"/>
      <x:c r="J5" s="15"/>
      <x:c r="K5" s="15"/>
      <x:c r="L5" s="15"/>
      <x:c r="M5" s="15"/>
    </x:row>
    <x:row r="6" ht="21" customHeight="1">
      <x:c r="A6" s="15" t="str">
        <x:v>Rows without a verified price</x:v>
      </x:c>
      <x:c r="B6" s="15"/>
      <x:c r="C6" s="15"/>
      <x:c r="D6" s="15"/>
      <x:c r="E6" s="15" t="n">
        <x:f>COUNTBLANK(F12:F63)</x:f>
        <x:v>28</x:v>
      </x:c>
      <x:c r="F6" s="15"/>
      <x:c r="G6" s="15"/>
      <x:c r="H6" s="15"/>
      <x:c r="I6" s="15"/>
      <x:c r="J6" s="15"/>
      <x:c r="K6" s="15"/>
      <x:c r="L6" s="15"/>
      <x:c r="M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</x:row>
    <x:row r="8" ht="27" customHeight="1">
      <x:c r="A8" s="15" t="str">
        <x:v>Edit amber cells (decision, quantities, prices). “Quote” means unknown price, never a free part. Zero quantity means optional/not currently selected.</x:v>
      </x:c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</x:row>
    <x:row r="9" ht="27" customHeight="1">
      <x:c r="A9" s="15" t="str">
        <x:v>Board and laptop already owned. No PLC, turbo, second Arduino, touchscreen or LabVIEW purchase required for this stand.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</x:row>
    <x:row r="11" ht="31.5" customHeight="1">
      <x:c r="A11" s="23" t="str">
        <x:v>ID</x:v>
      </x:c>
      <x:c r="B11" s="23" t="str">
        <x:v>Phase</x:v>
      </x:c>
      <x:c r="C11" s="23" t="str">
        <x:v>Decision</x:v>
      </x:c>
      <x:c r="D11" s="23" t="str">
        <x:v>Item / order unit</x:v>
      </x:c>
      <x:c r="E11" s="23" t="str">
        <x:v>Qty</x:v>
      </x:c>
      <x:c r="F11" s="23" t="str">
        <x:v>USD/unit</x:v>
      </x:c>
      <x:c r="G11" s="23" t="str">
        <x:v>USD/line</x:v>
      </x:c>
      <x:c r="H11" s="23" t="str">
        <x:v>Required specification</x:v>
      </x:c>
      <x:c r="I11" s="23" t="str">
        <x:v>Supplier / part</x:v>
      </x:c>
      <x:c r="J11" s="23" t="str">
        <x:v>Stock checked 07/10/2026</x:v>
      </x:c>
      <x:c r="K11" s="23" t="str">
        <x:v>Confirm before ordering</x:v>
      </x:c>
      <x:c r="L11" s="23" t="str">
        <x:v>Product / evidence URL</x:v>
      </x:c>
      <x:c r="M11" s="23" t="str">
        <x:v>Review evidence / caveat</x:v>
      </x:c>
    </x:row>
    <x:row r="12" ht="78" customHeight="1">
      <x:c r="A12" s="15" t="str">
        <x:v>O01</x:v>
      </x:c>
      <x:c r="B12" s="15" t="str">
        <x:v>1</x:v>
      </x:c>
      <x:c r="C12" s="17" t="str">
        <x:v>Reuse</x:v>
      </x:c>
      <x:c r="D12" s="15" t="str">
        <x:v>Arduino Uno R3</x:v>
      </x:c>
      <x:c r="E12" s="18" t="n">
        <x:v>1</x:v>
      </x:c>
      <x:c r="F12" s="19" t="n">
        <x:v>0</x:v>
      </x:c>
      <x:c r="G12" s="16" t="n">
        <x:f>IF(ISNUMBER(F12),E12*F12,"Quote")</x:f>
        <x:v>0</x:v>
      </x:c>
      <x:c r="H12" s="15" t="str">
        <x:v>5 V logic; USB shared with one hardware UART</x:v>
      </x:c>
      <x:c r="I12" s="15" t="str">
        <x:v>Owned</x:v>
      </x:c>
      <x:c r="J12" s="15" t="str">
        <x:v>User reports owned</x:v>
      </x:c>
      <x:c r="K12" s="15" t="str">
        <x:v>Use actual Uno board selection</x:v>
      </x:c>
      <x:c r="L12" s="25" t="str">
        <x:v>https://docs.arduino.cc/hardware/uno-rev3/</x:v>
      </x:c>
      <x:c r="M12" s="15" t="str">
        <x:v>Owned inventory</x:v>
      </x:c>
    </x:row>
    <x:row r="13" ht="78" customHeight="1">
      <x:c r="A13" s="15" t="str">
        <x:v>O02</x:v>
      </x:c>
      <x:c r="B13" s="15" t="str">
        <x:v>1</x:v>
      </x:c>
      <x:c r="C13" s="17" t="str">
        <x:v>Reuse</x:v>
      </x:c>
      <x:c r="D13" s="15" t="str">
        <x:v>Breadboard + 20 male-to-male jumpers</x:v>
      </x:c>
      <x:c r="E13" s="18" t="n">
        <x:v>1</x:v>
      </x:c>
      <x:c r="F13" s="19" t="n">
        <x:v>0</x:v>
      </x:c>
      <x:c r="G13" s="16" t="n">
        <x:f>IF(ISNUMBER(F13),E13*F13,"Quote")</x:f>
        <x:v>0</x:v>
      </x:c>
      <x:c r="H13" s="15" t="str">
        <x:v>20 wires used; 40 on hand recommended; no field connections</x:v>
      </x:c>
      <x:c r="I13" s="15" t="str">
        <x:v>Owned</x:v>
      </x:c>
      <x:c r="J13" s="15" t="str">
        <x:v>User reports owned</x:v>
      </x:c>
      <x:c r="K13" s="15" t="str">
        <x:v>Replace with secured assembly before live operation</x:v>
      </x:c>
      <x:c r="L13" s="25" t="str"/>
      <x:c r="M13" s="15" t="str">
        <x:v>Owned inventory</x:v>
      </x:c>
    </x:row>
    <x:row r="14" ht="78" customHeight="1">
      <x:c r="A14" s="15" t="str">
        <x:v>O03</x:v>
      </x:c>
      <x:c r="B14" s="15" t="str">
        <x:v>1–2</x:v>
      </x:c>
      <x:c r="C14" s="17" t="str">
        <x:v>Reuse</x:v>
      </x:c>
      <x:c r="D14" s="15" t="str">
        <x:v>Laptop + USB A–B data cable</x:v>
      </x:c>
      <x:c r="E14" s="18" t="n">
        <x:v>1</x:v>
      </x:c>
      <x:c r="F14" s="19" t="n">
        <x:v>0</x:v>
      </x:c>
      <x:c r="G14" s="16" t="n">
        <x:f>IF(ISNUMBER(F14),E14*F14,"Quote")</x:f>
        <x:v>0</x:v>
      </x:c>
      <x:c r="H14" s="15" t="str">
        <x:v>Laptop is monitor/logging tool, not final controller</x:v>
      </x:c>
      <x:c r="I14" s="15" t="str">
        <x:v>Owned / borrow cable</x:v>
      </x:c>
      <x:c r="J14" s="15" t="str">
        <x:v>Laptop owned; cable not confirmed</x:v>
      </x:c>
      <x:c r="K14" s="15" t="str">
        <x:v>Check cable exists; USB-C laptop may need correct adapter</x:v>
      </x:c>
      <x:c r="L14" s="25" t="str"/>
      <x:c r="M14" s="15" t="str">
        <x:v>Owned inventory; cable availability unverified</x:v>
      </x:c>
    </x:row>
    <x:row r="15" ht="78" customHeight="1">
      <x:c r="A15" s="15" t="str">
        <x:v>B01</x:v>
      </x:c>
      <x:c r="B15" s="15" t="str">
        <x:v>1</x:v>
      </x:c>
      <x:c r="C15" s="17" t="str">
        <x:v>Buy now</x:v>
      </x:c>
      <x:c r="D15" s="15" t="str">
        <x:v>470 ohm resistors, 25-pack</x:v>
      </x:c>
      <x:c r="E15" s="18" t="n">
        <x:v>1</x:v>
      </x:c>
      <x:c r="F15" s="19" t="n">
        <x:v>0.75</x:v>
      </x:c>
      <x:c r="G15" s="16" t="n">
        <x:f>IF(ISNUMBER(F15),E15*F15,"Quote")</x:f>
        <x:v>0.75</x:v>
      </x:c>
      <x:c r="H15" s="15" t="str">
        <x:v>Use one resistor per LED; three needed initially</x:v>
      </x:c>
      <x:c r="I15" s="15" t="str">
        <x:v>Adafruit 2781</x:v>
      </x:c>
      <x:c r="J15" s="15" t="str">
        <x:v>Listed price rechecked 09/10/2026</x:v>
      </x:c>
      <x:c r="K15" s="15" t="str">
        <x:v>Reuse lab resistors if available</x:v>
      </x:c>
      <x:c r="L15" s="25" t="str">
        <x:v>https://www.adafruit.com/product/2781</x:v>
      </x:c>
      <x:c r="M15" s="15" t="str">
        <x:v>No review rating verified; OEM or authorized distributor; price checked 09/10/2026</x:v>
      </x:c>
    </x:row>
    <x:row r="16" ht="78" customHeight="1">
      <x:c r="A16" s="15" t="str">
        <x:v>B02</x:v>
      </x:c>
      <x:c r="B16" s="15" t="str">
        <x:v>1</x:v>
      </x:c>
      <x:c r="C16" s="17" t="str">
        <x:v>Buy now</x:v>
      </x:c>
      <x:c r="D16" s="15" t="str">
        <x:v>Green 3 mm LEDs, 25-pack</x:v>
      </x:c>
      <x:c r="E16" s="18" t="n">
        <x:v>1</x:v>
      </x:c>
      <x:c r="F16" s="19" t="n">
        <x:v>4.95</x:v>
      </x:c>
      <x:c r="G16" s="16" t="n">
        <x:f>IF(ISNUMBER(F16),E16*F16,"Quote")</x:f>
        <x:v>4.95</x:v>
      </x:c>
      <x:c r="H16" s="15" t="str">
        <x:v>Three LED outputs: accepted cryo, vent, disarmed/rejected</x:v>
      </x:c>
      <x:c r="I16" s="15" t="str">
        <x:v>Adafruit 779</x:v>
      </x:c>
      <x:c r="J16" s="15" t="str">
        <x:v>Listed price rechecked 09/10/2026</x:v>
      </x:c>
      <x:c r="K16" s="15" t="str">
        <x:v>Green-only pack is sufficient; labels distinguish functions</x:v>
      </x:c>
      <x:c r="L16" s="25" t="str">
        <x:v>https://www.adafruit.com/product/779</x:v>
      </x:c>
      <x:c r="M16" s="15" t="str">
        <x:v>No review rating verified; OEM or authorized distributor; price checked 09/10/2026</x:v>
      </x:c>
    </x:row>
    <x:row r="17" ht="78" customHeight="1">
      <x:c r="A17" s="15" t="str">
        <x:v>B03</x:v>
      </x:c>
      <x:c r="B17" s="15" t="str">
        <x:v>1</x:v>
      </x:c>
      <x:c r="C17" s="17" t="str">
        <x:v>Buy now</x:v>
      </x:c>
      <x:c r="D17" s="15" t="str">
        <x:v>12 mm momentary buttons, 10-pack</x:v>
      </x:c>
      <x:c r="E17" s="18" t="n">
        <x:v>1</x:v>
      </x:c>
      <x:c r="F17" s="19" t="n">
        <x:v>2.5</x:v>
      </x:c>
      <x:c r="G17" s="16" t="n">
        <x:f>IF(ISNUMBER(F17),E17*F17,"Quote")</x:f>
        <x:v>2.5</x:v>
      </x:c>
      <x:c r="H17" s="15" t="str">
        <x:v>Three buttons used: CRYO request, VENT request, RE-ARM</x:v>
      </x:c>
      <x:c r="I17" s="15" t="str">
        <x:v>Adafruit 1119</x:v>
      </x:c>
      <x:c r="J17" s="15" t="str">
        <x:v>Listed price rechecked 09/10/2026</x:v>
      </x:c>
      <x:c r="K17" s="15" t="str">
        <x:v>Reuse lab switch/button if available</x:v>
      </x:c>
      <x:c r="L17" s="25" t="str">
        <x:v>https://www.adafruit.com/product/1119</x:v>
      </x:c>
      <x:c r="M17" s="15" t="str">
        <x:v>No review rating verified; OEM or authorized distributor; price checked 09/10/2026</x:v>
      </x:c>
    </x:row>
    <x:row r="18" ht="78" customHeight="1">
      <x:c r="A18" s="15" t="str">
        <x:v>T01</x:v>
      </x:c>
      <x:c r="B18" s="15" t="str">
        <x:v>1–5</x:v>
      </x:c>
      <x:c r="C18" s="17" t="str">
        <x:v>Borrow</x:v>
      </x:c>
      <x:c r="D18" s="15" t="str">
        <x:v>Digital multimeter with leads</x:v>
      </x:c>
      <x:c r="E18" s="18" t="n">
        <x:v>1</x:v>
      </x:c>
      <x:c r="F18" s="19"/>
      <x:c r="G18" s="16" t="str">
        <x:f>IF(ISNUMBER(F18),E18*F18,"Quote")</x:f>
        <x:v>Quote</x:v>
      </x:c>
      <x:c r="H18" s="15" t="str">
        <x:v>Continuity and DC voltage; lab instrument preferred</x:v>
      </x:c>
      <x:c r="I18" s="15" t="str">
        <x:v>Borrow from lab</x:v>
      </x:c>
      <x:c r="J18" s="15" t="str">
        <x:v>Not purchased</x:v>
      </x:c>
      <x:c r="K18" s="15" t="str">
        <x:v>Needed before connecting any real equipment</x:v>
      </x:c>
      <x:c r="L18" s="25" t="str"/>
      <x:c r="M18" s="15" t="str">
        <x:v>Borrow rather than buy an out-of-stock meter</x:v>
      </x:c>
    </x:row>
    <x:row r="19" ht="78" customHeight="1">
      <x:c r="A19" s="15" t="str">
        <x:v>T02</x:v>
      </x:c>
      <x:c r="B19" s="15" t="str">
        <x:v>3–5</x:v>
      </x:c>
      <x:c r="C19" s="17" t="str">
        <x:v>Borrow</x:v>
      </x:c>
      <x:c r="D19" s="15" t="str">
        <x:v>Soldering station, solder, stripper, crimper</x:v>
      </x:c>
      <x:c r="E19" s="18" t="n">
        <x:v>1</x:v>
      </x:c>
      <x:c r="F19" s="19"/>
      <x:c r="G19" s="16" t="str">
        <x:f>IF(ISNUMBER(F19),E19*F19,"Quote")</x:f>
        <x:v>Quote</x:v>
      </x:c>
      <x:c r="H19" s="15" t="str">
        <x:v>Use correct ferrule/crimp tool for selected terminals</x:v>
      </x:c>
      <x:c r="I19" s="15" t="str">
        <x:v>Borrow from lab</x:v>
      </x:c>
      <x:c r="J19" s="15" t="str">
        <x:v>Not purchased</x:v>
      </x:c>
      <x:c r="K19" s="15" t="str">
        <x:v>Needed for secured final assembly</x:v>
      </x:c>
      <x:c r="L19" s="25" t="str"/>
      <x:c r="M19" s="15" t="str">
        <x:v>Tool bundle quantities depend on assembly</x:v>
      </x:c>
    </x:row>
    <x:row r="20" ht="78" customHeight="1">
      <x:c r="A20" s="15" t="str">
        <x:v>G01</x:v>
      </x:c>
      <x:c r="B20" s="15" t="str">
        <x:v>2</x:v>
      </x:c>
      <x:c r="C20" s="17" t="str">
        <x:v>Hold</x:v>
      </x:c>
      <x:c r="D20" s="15" t="str">
        <x:v>I2C-to-dual-UART module</x:v>
      </x:c>
      <x:c r="E20" s="18" t="n">
        <x:v>1</x:v>
      </x:c>
      <x:c r="F20" s="19" t="n">
        <x:v>8</x:v>
      </x:c>
      <x:c r="G20" s="16" t="n">
        <x:f>IF(ISNUMBER(F20),E20*F20,"Quote")</x:f>
        <x:v>8</x:v>
      </x:c>
      <x:c r="H20" s="15" t="str">
        <x:v>DFR0627; 3.3–5.5 V; independent buffered serial port</x:v>
      </x:c>
      <x:c r="I20" s="15" t="str">
        <x:v>DigiKey / DFRobot DFR0627</x:v>
      </x:c>
      <x:c r="J20" s="15" t="str">
        <x:v>Listed price rechecked 09/10/2026</x:v>
      </x:c>
      <x:c r="K20" s="15" t="str">
        <x:v>Only after gauge protocol/interface confirmed; keeps USB serial free</x:v>
      </x:c>
      <x:c r="L20" s="25" t="str">
        <x:v>https://www.digikey.com/en/products/detail/dfrobot/DFR0627/12091972</x:v>
      </x:c>
      <x:c r="M20" s="15" t="str">
        <x:v>No review rating verified; OEM or authorized distributor; price checked 09/10/2026</x:v>
      </x:c>
    </x:row>
    <x:row r="21" ht="78" customHeight="1">
      <x:c r="A21" s="15" t="str">
        <x:v>G02</x:v>
      </x:c>
      <x:c r="B21" s="15" t="str">
        <x:v>2</x:v>
      </x:c>
      <x:c r="C21" s="17" t="str">
        <x:v>Hold</x:v>
      </x:c>
      <x:c r="D21" s="15" t="str">
        <x:v>Isolated RS485-to-UART module</x:v>
      </x:c>
      <x:c r="E21" s="18" t="n">
        <x:v>1</x:v>
      </x:c>
      <x:c r="F21" s="19" t="n">
        <x:v>19.9</x:v>
      </x:c>
      <x:c r="G21" s="16" t="n">
        <x:f>IF(ISNUMBER(F21),E21*F21,"Quote")</x:f>
        <x:v>19.9</x:v>
      </x:c>
      <x:c r="H21" s="15" t="str">
        <x:v>DFR0845; 3.3–5 V input; signal and power isolation</x:v>
      </x:c>
      <x:c r="I21" s="15" t="str">
        <x:v>DigiKey / DFRobot DFR0845</x:v>
      </x:c>
      <x:c r="J21" s="15" t="str">
        <x:v>Listed price rechecked 09/10/2026</x:v>
      </x:c>
      <x:c r="K21" s="15" t="str">
        <x:v>RS485 gauge only; its 12 V/160 mA output is not a Hornet PSU</x:v>
      </x:c>
      <x:c r="L21" s="25" t="str">
        <x:v>https://www.digikey.com/en/products/detail/dfrobot/DFR0845/15283078</x:v>
      </x:c>
      <x:c r="M21" s="15" t="str">
        <x:v>No review rating verified; OEM or authorized distributor; price checked 09/10/2026</x:v>
      </x:c>
    </x:row>
    <x:row r="22" ht="78" customHeight="1">
      <x:c r="A22" s="15" t="str">
        <x:v>G03</x:v>
      </x:c>
      <x:c r="B22" s="15" t="str">
        <x:v>2</x:v>
      </x:c>
      <x:c r="C22" s="17" t="str">
        <x:v>Hold</x:v>
      </x:c>
      <x:c r="D22" s="15" t="str">
        <x:v>Male DE-9 screw-terminal breakout</x:v>
      </x:c>
      <x:c r="E22" s="18" t="n">
        <x:v>1</x:v>
      </x:c>
      <x:c r="F22" s="19" t="n">
        <x:v>2.95</x:v>
      </x:c>
      <x:c r="G22" s="16" t="n">
        <x:f>IF(ISNUMBER(F22),E22*F22,"Quote")</x:f>
        <x:v>2.95</x:v>
      </x:c>
      <x:c r="H22" s="15" t="str">
        <x:v>Mates Hornet female RS485 socket; verify pin-number orientation</x:v>
      </x:c>
      <x:c r="I22" s="15" t="str">
        <x:v>Adafruit 3123</x:v>
      </x:c>
      <x:c r="J22" s="15" t="str">
        <x:v>Snapshot 08/10/2026; recheck at checkout</x:v>
      </x:c>
      <x:c r="K22" s="15" t="str">
        <x:v>Separate shielded cable and instrument supply still required</x:v>
      </x:c>
      <x:c r="L22" s="25" t="str">
        <x:v>https://www.adafruit.com/product/3123</x:v>
      </x:c>
      <x:c r="M22" s="15" t="str">
        <x:v>No review rating verified; OEM product; price checked 08/10/2026</x:v>
      </x:c>
    </x:row>
    <x:row r="23" ht="78" customHeight="1">
      <x:c r="A23" s="15" t="str">
        <x:v>G04</x:v>
      </x:c>
      <x:c r="B23" s="15" t="str">
        <x:v>2</x:v>
      </x:c>
      <x:c r="C23" s="17" t="str">
        <x:v>Reuse</x:v>
      </x:c>
      <x:c r="D23" s="15" t="str">
        <x:v>Existing Hornet instrument supply, if present</x:v>
      </x:c>
      <x:c r="E23" s="18" t="n">
        <x:v>1</x:v>
      </x:c>
      <x:c r="F23" s="19" t="n">
        <x:v>0</x:v>
      </x:c>
      <x:c r="G23" s="16" t="n">
        <x:f>IF(ISNUMBER(F23),E23*F23,"Quote")</x:f>
        <x:v>0</x:v>
      </x:c>
      <x:c r="H23" s="15" t="str">
        <x:v>IGM402YFD reported 20-28 VDC; conservative archived manual budget 30 W minimum</x:v>
      </x:c>
      <x:c r="I23" s="15" t="str">
        <x:v>Owned? verify</x:v>
      </x:c>
      <x:c r="J23" s="15" t="str">
        <x:v>Presence and rating not yet verified</x:v>
      </x:c>
      <x:c r="K23" s="15" t="str">
        <x:v>IGM401/402 current product pages specify 20–28 Vdc; never power from Uno</x:v>
      </x:c>
      <x:c r="L23" s="25" t="str">
        <x:v>https://www.instrutechinc.com/</x:v>
      </x:c>
      <x:c r="M23" s="15" t="str">
        <x:v>Condition/presence unverified</x:v>
      </x:c>
    </x:row>
    <x:row r="24" ht="78" customHeight="1">
      <x:c r="A24" s="15" t="str">
        <x:v>G05</x:v>
      </x:c>
      <x:c r="B24" s="15" t="str">
        <x:v>2</x:v>
      </x:c>
      <x:c r="C24" s="17" t="str">
        <x:v>Hold</x:v>
      </x:c>
      <x:c r="D24" s="15" t="str">
        <x:v>Low-vacuum sensor, only if CVG101GC unavailable</x:v>
      </x:c>
      <x:c r="E24" s="18" t="n">
        <x:v>1</x:v>
      </x:c>
      <x:c r="F24" s="19"/>
      <x:c r="G24" s="16" t="str">
        <x:f>IF(ISNUMBER(F24),E24*F24,"Quote")</x:f>
        <x:v>Quote</x:v>
      </x:c>
      <x:c r="H24" s="15" t="str">
        <x:v>Locate and test reported Worker Bee first; no new gauge purchase yet</x:v>
      </x:c>
      <x:c r="I24" s="15" t="str">
        <x:v>InstruTech / compatible gauge OEM</x:v>
      </x:c>
      <x:c r="J24" s="15" t="str">
        <x:v>Model dependent</x:v>
      </x:c>
      <x:c r="K24" s="15" t="str">
        <x:v>IGM401 ion-only is insufficient for full roughing/vent; IGM402 needs a working compatible convection sensor</x:v>
      </x:c>
      <x:c r="L24" s="25" t="str">
        <x:v>https://www.instrutechinc.com/</x:v>
      </x:c>
      <x:c r="M24" s="15" t="str">
        <x:v>Reuse existing rough gauge first</x:v>
      </x:c>
    </x:row>
    <x:row r="25" ht="78" customHeight="1">
      <x:c r="A25" s="15" t="str">
        <x:v>G06</x:v>
      </x:c>
      <x:c r="B25" s="15" t="str">
        <x:v>4</x:v>
      </x:c>
      <x:c r="C25" s="17" t="str">
        <x:v>Hold</x:v>
      </x:c>
      <x:c r="D25" s="15" t="str">
        <x:v>Filament OFF control + confirmed OFF/status interface</x:v>
      </x:c>
      <x:c r="E25" s="18" t="n">
        <x:v>1</x:v>
      </x:c>
      <x:c r="F25" s="19"/>
      <x:c r="G25" s="16" t="str">
        <x:f>IF(ISNUMBER(F25),E25*F25,"Quote")</x:f>
        <x:v>Quote</x:v>
      </x:c>
      <x:c r="H25" s="15" t="str">
        <x:v>Model-supported control ownership, wiring and readback</x:v>
      </x:c>
      <x:c r="I25" s="15" t="str">
        <x:v>Gauge OEM / DigiKey</x:v>
      </x:c>
      <x:c r="J25" s="15" t="str">
        <x:v>Model dependent</x:v>
      </x:c>
      <x:c r="K25" s="15" t="str">
        <x:v>Vent permission requires documented filament-off confirmation; not just command sent</x:v>
      </x:c>
      <x:c r="L25" s="25" t="str">
        <x:v>https://www.instrutechinc.com/</x:v>
      </x:c>
      <x:c r="M25" s="15" t="str">
        <x:v>Serial/control semantics must be verified</x:v>
      </x:c>
    </x:row>
    <x:row r="26" ht="78" customHeight="1">
      <x:c r="A26" s="15" t="str">
        <x:v>V01</x:v>
      </x:c>
      <x:c r="B26" s="15" t="str">
        <x:v>3</x:v>
      </x:c>
      <x:c r="C26" s="17" t="str">
        <x:v>Reuse</x:v>
      </x:c>
      <x:c r="D26" s="15" t="str">
        <x:v>Existing large cryo gate / actuator</x:v>
      </x:c>
      <x:c r="E26" s="18" t="n">
        <x:v>1</x:v>
      </x:c>
      <x:c r="F26" s="19" t="n">
        <x:v>0</x:v>
      </x:c>
      <x:c r="G26" s="16" t="n">
        <x:f>IF(ISNUMBER(F26),E26*F26,"Quote")</x:f>
        <x:v>0</x:v>
      </x:c>
      <x:c r="H26" s="15" t="str">
        <x:v>Photograph appears pneumatic: ports C/O; exact valve unidentified</x:v>
      </x:c>
      <x:c r="I26" s="15" t="str">
        <x:v>Existing photographed assembly</x:v>
      </x:c>
      <x:c r="J26" s="15" t="str">
        <x:v>Unverified</x:v>
      </x:c>
      <x:c r="K26" s="15" t="str">
        <x:v>Check model, installed route, actuation and failure position; do not replace yet</x:v>
      </x:c>
      <x:c r="L26" s="25" t="str"/>
      <x:c r="M26" s="15" t="str">
        <x:v>Photo inference, not confirmed identification</x:v>
      </x:c>
    </x:row>
    <x:row r="27" ht="78" customHeight="1">
      <x:c r="A27" s="15" t="str">
        <x:v>V02</x:v>
      </x:c>
      <x:c r="B27" s="15" t="str">
        <x:v>3</x:v>
      </x:c>
      <x:c r="C27" s="17" t="str">
        <x:v>Hold</x:v>
      </x:c>
      <x:c r="D27" s="15" t="str">
        <x:v>Cryo gate pneumatic pilot / solenoid</x:v>
      </x:c>
      <x:c r="E27" s="18" t="n">
        <x:v>1</x:v>
      </x:c>
      <x:c r="F27" s="19"/>
      <x:c r="G27" s="16" t="str">
        <x:f>IF(ISNUMBER(F27),E27*F27,"Quote")</x:f>
        <x:v>Quote</x:v>
      </x:c>
      <x:c r="H27" s="15" t="str">
        <x:v>3/2 vs 5/2; coil volts, AC/DC, ports and failure behavior must match actuator</x:v>
      </x:c>
      <x:c r="I27" s="15" t="str">
        <x:v>Gate OEM / appropriate pneumatic supplier</x:v>
      </x:c>
      <x:c r="J27" s="15" t="str">
        <x:v>Model dependent</x:v>
      </x:c>
      <x:c r="K27" s="15" t="str">
        <x:v>Select after actual gate manual; cannot infer coil/pilot from C/O labels alone</x:v>
      </x:c>
      <x:c r="L27" s="25" t="str"/>
      <x:c r="M27" s="15" t="str">
        <x:v>No SKU until actuator identified</x:v>
      </x:c>
    </x:row>
    <x:row r="28" ht="78" customHeight="1">
      <x:c r="A28" s="15" t="str">
        <x:v>V03</x:v>
      </x:c>
      <x:c r="B28" s="15" t="str">
        <x:v>3–4</x:v>
      </x:c>
      <x:c r="C28" s="17" t="str">
        <x:v>Hold</x:v>
      </x:c>
      <x:c r="D28" s="15" t="str">
        <x:v>Open/closed feedback for existing cryo gate</x:v>
      </x:c>
      <x:c r="E28" s="18" t="n">
        <x:v>1</x:v>
      </x:c>
      <x:c r="F28" s="19"/>
      <x:c r="G28" s="16" t="str">
        <x:f>IF(ISNUMBER(F28),E28*F28,"Quote")</x:f>
        <x:v>Quote</x:v>
      </x:c>
      <x:c r="H28" s="15" t="str">
        <x:v>Two end positions; contacts or sensor outputs electrically identified</x:v>
      </x:c>
      <x:c r="I28" s="15" t="str">
        <x:v>Valve OEM / compatible sensors</x:v>
      </x:c>
      <x:c r="J28" s="15" t="str">
        <x:v>May already exist</x:v>
      </x:c>
      <x:c r="K28" s="15" t="str">
        <x:v>Check white wires and wiring diagram; sensors must prove actual travel</x:v>
      </x:c>
      <x:c r="L28" s="25" t="str"/>
      <x:c r="M28" s="15" t="str">
        <x:v>Price/quantity are a retrofit kit placeholder; may become reuse</x:v>
      </x:c>
    </x:row>
    <x:row r="29" ht="78" customHeight="1">
      <x:c r="A29" s="15" t="str">
        <x:v>E01</x:v>
      </x:c>
      <x:c r="B29" s="15" t="str">
        <x:v>3</x:v>
      </x:c>
      <x:c r="C29" s="17" t="str">
        <x:v>Hold</x:v>
      </x:c>
      <x:c r="D29" s="15" t="str">
        <x:v>Eight-channel DC solenoid driver</x:v>
      </x:c>
      <x:c r="E29" s="18" t="n">
        <x:v>1</x:v>
      </x:c>
      <x:c r="F29" s="19" t="n">
        <x:v>14.95</x:v>
      </x:c>
      <x:c r="G29" s="16" t="n">
        <x:f>IF(ISNUMBER(F29),E29*F29,"Quote")</x:f>
        <x:v>14.95</x:v>
      </x:c>
      <x:c r="H29" s="15" t="str">
        <x:v>Adafruit 6318: I2C; 3–24 V DC loads; flyback; thermal/current limits require check</x:v>
      </x:c>
      <x:c r="I29" s="15" t="str">
        <x:v>Adafruit 6318</x:v>
      </x:c>
      <x:c r="J29" s="15" t="str">
        <x:v>Price snapshot; availability must be rechecked</x:v>
      </x:c>
      <x:c r="K29" s="15" t="str">
        <x:v>DC coils only; eight extra GPIO can reduce need for separate expander</x:v>
      </x:c>
      <x:c r="L29" s="25" t="str">
        <x:v>https://www.adafruit.com/product/6318</x:v>
      </x:c>
      <x:c r="M29" s="15" t="str">
        <x:v>No product review rating verified; selected for OEM documentation/support. Price snapshot 07/10/2026 unless updated below.</x:v>
      </x:c>
    </x:row>
    <x:row r="30" ht="78" customHeight="1">
      <x:c r="A30" s="15" t="str">
        <x:v>E02</x:v>
      </x:c>
      <x:c r="B30" s="15" t="str">
        <x:v>3</x:v>
      </x:c>
      <x:c r="C30" s="17" t="str">
        <x:v>Optional</x:v>
      </x:c>
      <x:c r="D30" s="15" t="str">
        <x:v>Single-channel MOSFET driver, alternative</x:v>
      </x:c>
      <x:c r="E30" s="18" t="n">
        <x:v>0</x:v>
      </x:c>
      <x:c r="F30" s="19" t="n">
        <x:v>3.95</x:v>
      </x:c>
      <x:c r="G30" s="16" t="n">
        <x:f>IF(ISNUMBER(F30),E30*F30,"Quote")</x:f>
        <x:v>0</x:v>
      </x:c>
      <x:c r="H30" s="15" t="str">
        <x:v>Adafruit 5648; use only within documented load ratings</x:v>
      </x:c>
      <x:c r="I30" s="15" t="str">
        <x:v>Adafruit 5648</x:v>
      </x:c>
      <x:c r="J30" s="15" t="str">
        <x:v>Price snapshot; availability must be rechecked</x:v>
      </x:c>
      <x:c r="K30" s="15" t="str">
        <x:v>Optional lower-cost one-coil proof; not additional to E01 by default</x:v>
      </x:c>
      <x:c r="L30" s="25" t="str">
        <x:v>https://www.adafruit.com/product/5648</x:v>
      </x:c>
      <x:c r="M30" s="15" t="str">
        <x:v>No product review rating verified; selected for OEM documentation/support. Price snapshot 07/10/2026 unless updated below.</x:v>
      </x:c>
    </x:row>
    <x:row r="31" ht="78" customHeight="1">
      <x:c r="A31" s="15" t="str">
        <x:v>E03</x:v>
      </x:c>
      <x:c r="B31" s="15" t="str">
        <x:v>3–5</x:v>
      </x:c>
      <x:c r="C31" s="17" t="str">
        <x:v>Hold</x:v>
      </x:c>
      <x:c r="D31" s="15" t="str">
        <x:v>External supervised output enable / watchdog circuit</x:v>
      </x:c>
      <x:c r="E31" s="18" t="n">
        <x:v>1</x:v>
      </x:c>
      <x:c r="F31" s="19"/>
      <x:c r="G31" s="16" t="str">
        <x:f>IF(ISNUMBER(F31),E31*F31,"Quote")</x:f>
        <x:v>Quote</x:v>
      </x:c>
      <x:c r="H31" s="15" t="str">
        <x:v>Outputs inhibited at startup/fault; design actual close path; I2C outputs may remain latched</x:v>
      </x:c>
      <x:c r="I31" s="15" t="str">
        <x:v>Component supplier after circuit review</x:v>
      </x:c>
      <x:c r="J31" s="15" t="str">
        <x:v>Design dependent</x:v>
      </x:c>
      <x:c r="K31" s="15" t="str">
        <x:v>Necessary for live controller; does not make Uno safety-certified</x:v>
      </x:c>
      <x:c r="L31" s="25" t="str"/>
      <x:c r="M31" s="15" t="str">
        <x:v>Need final actuator and single-fault assessment before circuit SKU</x:v>
      </x:c>
    </x:row>
    <x:row r="32" ht="78" customHeight="1">
      <x:c r="A32" s="15" t="str">
        <x:v>E04</x:v>
      </x:c>
      <x:c r="B32" s="15" t="str">
        <x:v>3–5</x:v>
      </x:c>
      <x:c r="C32" s="17" t="str">
        <x:v>Hold</x:v>
      </x:c>
      <x:c r="D32" s="15" t="str">
        <x:v>Field input conditioning / isolation</x:v>
      </x:c>
      <x:c r="E32" s="18" t="n">
        <x:v>1</x:v>
      </x:c>
      <x:c r="F32" s="19"/>
      <x:c r="G32" s="16" t="str">
        <x:f>IF(ISNUMBER(F32),E32*F32,"Quote")</x:f>
        <x:v>Quote</x:v>
      </x:c>
      <x:c r="H32" s="15" t="str">
        <x:v>Reed dry contacts vs PNP/NPN/24 V outputs; validate thresholds, filtering and disconnect detection</x:v>
      </x:c>
      <x:c r="I32" s="15" t="str">
        <x:v>DigiKey / actual sensor OEM</x:v>
      </x:c>
      <x:c r="J32" s="15" t="str">
        <x:v>Design dependent</x:v>
      </x:c>
      <x:c r="K32" s="15" t="str">
        <x:v>Never connect unidentified 24 V signals directly to Uno</x:v>
      </x:c>
      <x:c r="L32" s="25" t="str"/>
      <x:c r="M32" s="15" t="str">
        <x:v>Channel count follows signal inventory</x:v>
      </x:c>
    </x:row>
    <x:row r="33" ht="78" customHeight="1">
      <x:c r="A33" s="15" t="str">
        <x:v>E05</x:v>
      </x:c>
      <x:c r="B33" s="15" t="str">
        <x:v>3</x:v>
      </x:c>
      <x:c r="C33" s="17" t="str">
        <x:v>Hold</x:v>
      </x:c>
      <x:c r="D33" s="15" t="str">
        <x:v>24 V valve-only desktop supply, candidate</x:v>
      </x:c>
      <x:c r="E33" s="18" t="n">
        <x:v>1</x:v>
      </x:c>
      <x:c r="F33" s="19" t="n">
        <x:v>14.3</x:v>
      </x:c>
      <x:c r="G33" s="16" t="n">
        <x:f>IF(ISNUMBER(F33),E33*F33,"Quote")</x:f>
        <x:v>14.3</x:v>
      </x:c>
      <x:c r="H33" s="15" t="str">
        <x:v>Mean Well GST25A24-P1J, 24 V/1.04 A; center-positive; IEC mains cord separate</x:v>
      </x:c>
      <x:c r="I33" s="15" t="str">
        <x:v>DigiKey / Mean Well GST25A24-P1J</x:v>
      </x:c>
      <x:c r="J33" s="15" t="str">
        <x:v>Price snapshot; availability must be rechecked</x:v>
      </x:c>
      <x:c r="K33" s="15" t="str">
        <x:v>Only if coils are 24 V and total current/inrush fits; reuse bench PSU first</x:v>
      </x:c>
      <x:c r="L33" s="25" t="str">
        <x:v>https://www.digikey.com/en/products/detail/mean-well-usa-inc/GST25A24-P1J/7703651</x:v>
      </x:c>
      <x:c r="M33" s="15" t="str">
        <x:v>Manufacturer/distributor documentation; no review rating verified Price snapshot 07/10/2026 unless updated below.</x:v>
      </x:c>
    </x:row>
    <x:row r="34" ht="78" customHeight="1">
      <x:c r="A34" s="15" t="str">
        <x:v>E06</x:v>
      </x:c>
      <x:c r="B34" s="15" t="str">
        <x:v>3</x:v>
      </x:c>
      <x:c r="C34" s="17" t="str">
        <x:v>Borrow</x:v>
      </x:c>
      <x:c r="D34" s="15" t="str">
        <x:v>IEC C13 grounded mains cord for candidate PSU</x:v>
      </x:c>
      <x:c r="E34" s="18" t="n">
        <x:v>1</x:v>
      </x:c>
      <x:c r="F34" s="19"/>
      <x:c r="G34" s="16" t="str">
        <x:f>IF(ISNUMBER(F34),E34*F34,"Quote")</x:f>
        <x:v>Quote</x:v>
      </x:c>
      <x:c r="H34" s="15" t="str">
        <x:v>Matches GST25A24 C14 inlet and local mains outlet</x:v>
      </x:c>
      <x:c r="I34" s="15" t="str">
        <x:v>Borrow / approved cord supplier</x:v>
      </x:c>
      <x:c r="J34" s="15" t="str">
        <x:v>Check lab stock</x:v>
      </x:c>
      <x:c r="K34" s="15" t="str">
        <x:v>Separate from supply; no mains wiring on breadboard</x:v>
      </x:c>
      <x:c r="L34" s="25" t="str"/>
      <x:c r="M34" s="15" t="str">
        <x:v>Reuse lab cord if compatible</x:v>
      </x:c>
    </x:row>
    <x:row r="35" ht="78" customHeight="1">
      <x:c r="A35" s="15" t="str">
        <x:v>E07</x:v>
      </x:c>
      <x:c r="B35" s="15" t="str">
        <x:v>5</x:v>
      </x:c>
      <x:c r="C35" s="17" t="str">
        <x:v>Hold</x:v>
      </x:c>
      <x:c r="D35" s="15" t="str">
        <x:v>Independent regulated logic supply</x:v>
      </x:c>
      <x:c r="E35" s="18" t="n">
        <x:v>1</x:v>
      </x:c>
      <x:c r="F35" s="19"/>
      <x:c r="G35" s="16" t="str">
        <x:f>IF(ISNUMBER(F35),E35*F35,"Quote")</x:f>
        <x:v>Quote</x:v>
      </x:c>
      <x:c r="H35" s="15" t="str">
        <x:v>Suitable regulated supply through documented Uno power input; sized for modules</x:v>
      </x:c>
      <x:c r="I35" s="15" t="str">
        <x:v>Approved adapter / supply OEM</x:v>
      </x:c>
      <x:c r="J35" s="15" t="str">
        <x:v>Design dependent</x:v>
      </x:c>
      <x:c r="K35" s="15" t="str">
        <x:v>Final controller must run with laptop removed; never feed 24 V to Uno</x:v>
      </x:c>
      <x:c r="L35" s="25" t="str"/>
      <x:c r="M35" s="15" t="str">
        <x:v>Choose after total load and grounding plan</x:v>
      </x:c>
    </x:row>
    <x:row r="36" ht="78" customHeight="1">
      <x:c r="A36" s="15" t="str">
        <x:v>P01</x:v>
      </x:c>
      <x:c r="B36" s="15" t="str">
        <x:v>3</x:v>
      </x:c>
      <x:c r="C36" s="17" t="str">
        <x:v>Hold</x:v>
      </x:c>
      <x:c r="D36" s="15" t="str">
        <x:v>Actuation gas regulator + pressure indication + shutoff</x:v>
      </x:c>
      <x:c r="E36" s="18" t="n">
        <x:v>1</x:v>
      </x:c>
      <x:c r="F36" s="19"/>
      <x:c r="G36" s="16" t="str">
        <x:f>IF(ISNUMBER(F36),E36*F36,"Quote")</x:f>
        <x:v>Quote</x:v>
      </x:c>
      <x:c r="H36" s="15" t="str">
        <x:v>Regulator range/relief and gas type specified by actual actuator manual</x:v>
      </x:c>
      <x:c r="I36" s="15" t="str">
        <x:v>Lab gas services / pneumatic OEM</x:v>
      </x:c>
      <x:c r="J36" s="15" t="str">
        <x:v>May already exist</x:v>
      </x:c>
      <x:c r="K36" s="15" t="str">
        <x:v>Use existing regulated clean dry air/N2 if approved; separate from helium circuit</x:v>
      </x:c>
      <x:c r="L36" s="25" t="str"/>
      <x:c r="M36" s="15" t="str">
        <x:v>Do not guess cylinder pressure or regulator setting</x:v>
      </x:c>
    </x:row>
    <x:row r="37" ht="78" customHeight="1">
      <x:c r="A37" s="15" t="str">
        <x:v>P02</x:v>
      </x:c>
      <x:c r="B37" s="15" t="str">
        <x:v>3–4</x:v>
      </x:c>
      <x:c r="C37" s="17" t="str">
        <x:v>Hold</x:v>
      </x:c>
      <x:c r="D37" s="15" t="str">
        <x:v>Pneumatic tube, matched fittings, silencers and mounting</x:v>
      </x:c>
      <x:c r="E37" s="18" t="n">
        <x:v>1</x:v>
      </x:c>
      <x:c r="F37" s="19"/>
      <x:c r="G37" s="16" t="str">
        <x:f>IF(ISNUMBER(F37),E37*F37,"Quote")</x:f>
        <x:v>Quote</x:v>
      </x:c>
      <x:c r="H37" s="15" t="str">
        <x:v>Correct metric/inch OD, pressure rating, port thread and exhaust routing</x:v>
      </x:c>
      <x:c r="I37" s="15" t="str">
        <x:v>Valve OEM / pneumatic supplier</x:v>
      </x:c>
      <x:c r="J37" s="15" t="str">
        <x:v>Model dependent</x:v>
      </x:c>
      <x:c r="K37" s="15" t="str">
        <x:v>Measure actual push-fitting sizes and threads first</x:v>
      </x:c>
      <x:c r="L37" s="25" t="str"/>
      <x:c r="M37" s="15" t="str">
        <x:v>One installation kit; length/quantities established after layout</x:v>
      </x:c>
    </x:row>
    <x:row r="38" ht="78" customHeight="1">
      <x:c r="A38" s="15" t="str">
        <x:v>P03</x:v>
      </x:c>
      <x:c r="B38" s="15" t="str">
        <x:v>3</x:v>
      </x:c>
      <x:c r="C38" s="17" t="str">
        <x:v>Hold</x:v>
      </x:c>
      <x:c r="D38" s="15" t="str">
        <x:v>Actuation pressure proof switch</x:v>
      </x:c>
      <x:c r="E38" s="18" t="n">
        <x:v>1</x:v>
      </x:c>
      <x:c r="F38" s="19"/>
      <x:c r="G38" s="16" t="str">
        <x:f>IF(ISNUMBER(F38),E38*F38,"Quote")</x:f>
        <x:v>Quote</x:v>
      </x:c>
      <x:c r="H38" s="15" t="str">
        <x:v>Suitable range; electrical output conditioned for controller</x:v>
      </x:c>
      <x:c r="I38" s="15" t="str">
        <x:v>Pneumatic OEM</x:v>
      </x:c>
      <x:c r="J38" s="15" t="str">
        <x:v>Model dependent</x:v>
      </x:c>
      <x:c r="K38" s="15" t="str">
        <x:v>If pneumatic actuation; detect low air and determine true failure response</x:v>
      </x:c>
      <x:c r="L38" s="25" t="str"/>
      <x:c r="M38" s="15" t="str">
        <x:v>Needed to distinguish energized coil from available actuation pressure</x:v>
      </x:c>
    </x:row>
    <x:row r="39" ht="78" customHeight="1">
      <x:c r="A39" s="15" t="str">
        <x:v>P04</x:v>
      </x:c>
      <x:c r="B39" s="15" t="str">
        <x:v>3–5</x:v>
      </x:c>
      <x:c r="C39" s="17" t="str">
        <x:v>Hold</x:v>
      </x:c>
      <x:c r="D39" s="15" t="str">
        <x:v>Fail-close pneumatic provision, if actuator requires it</x:v>
      </x:c>
      <x:c r="E39" s="18" t="n">
        <x:v>1</x:v>
      </x:c>
      <x:c r="F39" s="19"/>
      <x:c r="G39" s="16" t="str">
        <x:f>IF(ISNUMBER(F39),E39*F39,"Quote")</x:f>
        <x:v>Quote</x:v>
      </x:c>
      <x:c r="H39" s="15" t="str">
        <x:v>Stored pressure/close priority or spring return as justified by actual gate design</x:v>
      </x:c>
      <x:c r="I39" s="15" t="str">
        <x:v>Gate OEM / reviewed pneumatic circuit</x:v>
      </x:c>
      <x:c r="J39" s="15" t="str">
        <x:v>Model dependent</x:v>
      </x:c>
      <x:c r="K39" s="15" t="str">
        <x:v>Power-off and air-off must be tested; a double-acting gate can stay open</x:v>
      </x:c>
      <x:c r="L39" s="25" t="str"/>
      <x:c r="M39" s="15" t="str">
        <x:v>May be unnecessary for verified spring-to-close valve</x:v>
      </x:c>
    </x:row>
    <x:row r="40" ht="78" customHeight="1">
      <x:c r="A40" s="15" t="str">
        <x:v>A01</x:v>
      </x:c>
      <x:c r="B40" s="15" t="str">
        <x:v>4</x:v>
      </x:c>
      <x:c r="C40" s="17" t="str">
        <x:v>Hold</x:v>
      </x:c>
      <x:c r="D40" s="15" t="str">
        <x:v>Automatic roughing vacuum valve, candidate</x:v>
      </x:c>
      <x:c r="E40" s="18" t="n">
        <x:v>1</x:v>
      </x:c>
      <x:c r="F40" s="19" t="n">
        <x:v>394</x:v>
      </x:c>
      <x:c r="G40" s="16" t="n">
        <x:f>IF(ISNUMBER(F40),E40*F40,"Quote")</x:f>
        <x:v>394</x:v>
      </x:c>
      <x:c r="H40" s="15" t="str">
        <x:v>KJLC SAV0100PVQF; KF25; spring to close; position indicators; pilot separate</x:v>
      </x:c>
      <x:c r="I40" s="15" t="str">
        <x:v>Kurt J. Lesker SAV0100PVQF</x:v>
      </x:c>
      <x:c r="J40" s="15" t="str">
        <x:v>Price snapshot; availability must be rechecked</x:v>
      </x:c>
      <x:c r="K40" s="15" t="str">
        <x:v>Borrow/reuse actuated valve first; buy only if KF25, conductance and differential-pressure ratings fit</x:v>
      </x:c>
      <x:c r="L40" s="25" t="str">
        <x:v>https://www.lesker.com/valves/angle-valves-ss-bellows-sealed/part/sav0100pvqf</x:v>
      </x:c>
      <x:c r="M40" s="15" t="str">
        <x:v>No product review rating verified; selected for OEM documentation/support. Price snapshot 07/10/2026 unless updated below.</x:v>
      </x:c>
    </x:row>
    <x:row r="41" ht="78" customHeight="1">
      <x:c r="A41" s="15" t="str">
        <x:v>A02</x:v>
      </x:c>
      <x:c r="B41" s="15" t="str">
        <x:v>4</x:v>
      </x:c>
      <x:c r="C41" s="17" t="str">
        <x:v>Hold</x:v>
      </x:c>
      <x:c r="D41" s="15" t="str">
        <x:v>Automatic vent vacuum valve, provisional candidate</x:v>
      </x:c>
      <x:c r="E41" s="18" t="n">
        <x:v>1</x:v>
      </x:c>
      <x:c r="F41" s="19" t="n">
        <x:v>394</x:v>
      </x:c>
      <x:c r="G41" s="16" t="n">
        <x:f>IF(ISNUMBER(F41),E41*F41,"Quote")</x:f>
        <x:v>394</x:v>
      </x:c>
      <x:c r="H41" s="15" t="str">
        <x:v>Same KF25 candidate only if geometry/rating fits; smaller NC vacuum valve may cost less</x:v>
      </x:c>
      <x:c r="I41" s="15" t="str">
        <x:v>Kurt J. Lesker SAV0100PVQF</x:v>
      </x:c>
      <x:c r="J41" s="15" t="str">
        <x:v>Price snapshot; availability must be rechecked</x:v>
      </x:c>
      <x:c r="K41" s="15" t="str">
        <x:v>Do not buy this blindly: vent line size and flow requirement unknown</x:v>
      </x:c>
      <x:c r="L41" s="25" t="str">
        <x:v>https://www.lesker.com/valves/angle-valves-ss-bellows-sealed/part/sav0100pvqf</x:v>
      </x:c>
      <x:c r="M41" s="15" t="str">
        <x:v>Price is a verified conditional candidate, not a cheapest compatible vent selection Price snapshot 07/10/2026 unless updated below.</x:v>
      </x:c>
    </x:row>
    <x:row r="42" ht="78" customHeight="1">
      <x:c r="A42" s="15" t="str">
        <x:v>A03</x:v>
      </x:c>
      <x:c r="B42" s="15" t="str">
        <x:v>4</x:v>
      </x:c>
      <x:c r="C42" s="17" t="str">
        <x:v>Hold</x:v>
      </x:c>
      <x:c r="D42" s="15" t="str">
        <x:v>24 V DC 3-way pilots for A01/A02, OEM candidate</x:v>
      </x:c>
      <x:c r="E42" s="18" t="n">
        <x:v>2</x:v>
      </x:c>
      <x:c r="F42" s="19" t="n">
        <x:v>68</x:v>
      </x:c>
      <x:c r="G42" s="16" t="n">
        <x:f>IF(ISNUMBER(F42),E42*F42,"Quote")</x:f>
        <x:v>136</x:v>
      </x:c>
      <x:c r="H42" s="15" t="str">
        <x:v>Lesker SE024D3XX; explicitly listed accessory; not a vacuum-wetted valve</x:v>
      </x:c>
      <x:c r="I42" s="15" t="str">
        <x:v>Kurt J. Lesker SE024D3XX</x:v>
      </x:c>
      <x:c r="J42" s="15" t="str">
        <x:v>Price snapshot; availability must be rechecked</x:v>
      </x:c>
      <x:c r="K42" s="15" t="str">
        <x:v>Two only if both listed spring-return pneumatic valves are selected</x:v>
      </x:c>
      <x:c r="L42" s="25" t="str">
        <x:v>https://www.lesker.com/valves/angle-valves-ss-bellows-sealed/part/sav0100pvqf</x:v>
      </x:c>
      <x:c r="M42" s="15" t="str">
        <x:v>No product review rating verified; selected for OEM documentation/support. Price snapshot 07/10/2026 unless updated below.</x:v>
      </x:c>
    </x:row>
    <x:row r="43" ht="78" customHeight="1">
      <x:c r="A43" s="15" t="str">
        <x:v>A04</x:v>
      </x:c>
      <x:c r="B43" s="15" t="str">
        <x:v>4</x:v>
      </x:c>
      <x:c r="C43" s="17" t="str">
        <x:v>Hold</x:v>
      </x:c>
      <x:c r="D43" s="15" t="str">
        <x:v>Vent metering restriction / needle valve</x:v>
      </x:c>
      <x:c r="E43" s="18" t="n">
        <x:v>1</x:v>
      </x:c>
      <x:c r="F43" s="19"/>
      <x:c r="G43" s="16" t="str">
        <x:f>IF(ISNUMBER(F43),E43*F43,"Quote")</x:f>
        <x:v>Quote</x:v>
      </x:c>
      <x:c r="H43" s="15" t="str">
        <x:v>Limit admitted gas flow to chamber/pump approved rate</x:v>
      </x:c>
      <x:c r="I43" s="15" t="str">
        <x:v>Vacuum fitting / valve OEM</x:v>
      </x:c>
      <x:c r="J43" s="15" t="str">
        <x:v>Line dependent</x:v>
      </x:c>
      <x:c r="K43" s="15" t="str">
        <x:v>An ON/OFF valve alone does not establish a controlled vent rate</x:v>
      </x:c>
      <x:c r="L43" s="25" t="str"/>
      <x:c r="M43" s="15" t="str">
        <x:v>May reuse existing manual metering valve after identifying it</x:v>
      </x:c>
    </x:row>
    <x:row r="44" ht="78" customHeight="1">
      <x:c r="A44" s="15" t="str">
        <x:v>A05</x:v>
      </x:c>
      <x:c r="B44" s="15" t="str">
        <x:v>4</x:v>
      </x:c>
      <x:c r="C44" s="17" t="str">
        <x:v>Hold</x:v>
      </x:c>
      <x:c r="D44" s="15" t="str">
        <x:v>Vacuum flange hardware and hose/fittings</x:v>
      </x:c>
      <x:c r="E44" s="18" t="n">
        <x:v>1</x:v>
      </x:c>
      <x:c r="F44" s="19"/>
      <x:c r="G44" s="16" t="str">
        <x:f>IF(ISNUMBER(F44),E44*F44,"Quote")</x:f>
        <x:v>Quote</x:v>
      </x:c>
      <x:c r="H44" s="15" t="str">
        <x:v>Flange sizes, seals, clamp qty and hose conductance from traced layout</x:v>
      </x:c>
      <x:c r="I44" s="15" t="str">
        <x:v>Kurt J. Lesker / matching OEM</x:v>
      </x:c>
      <x:c r="J44" s="15" t="str">
        <x:v>Layout dependent</x:v>
      </x:c>
      <x:c r="K44" s="15" t="str">
        <x:v>Reuse existing clean compatible hardware; do not assume all connections KF25</x:v>
      </x:c>
      <x:c r="L44" s="25" t="str"/>
      <x:c r="M44" s="15" t="str">
        <x:v>Quantity is one installation kit, not one fitting</x:v>
      </x:c>
    </x:row>
    <x:row r="45" ht="78" customHeight="1">
      <x:c r="A45" s="15" t="str">
        <x:v>A06</x:v>
      </x:c>
      <x:c r="B45" s="15" t="str">
        <x:v>4</x:v>
      </x:c>
      <x:c r="C45" s="17" t="str">
        <x:v>Hold</x:v>
      </x:c>
      <x:c r="D45" s="15" t="str">
        <x:v>Manual bypass position proof / removal from active route</x:v>
      </x:c>
      <x:c r="E45" s="18" t="n">
        <x:v>1</x:v>
      </x:c>
      <x:c r="F45" s="19"/>
      <x:c r="G45" s="16" t="str">
        <x:f>IF(ISNUMBER(F45),E45*F45,"Quote")</x:f>
        <x:v>Quote</x:v>
      </x:c>
      <x:c r="H45" s="15" t="str">
        <x:v>All hand-operated chamber paths must be supervised or excluded</x:v>
      </x:c>
      <x:c r="I45" s="15" t="str">
        <x:v>Actual valve OEM / approved mechanical modification</x:v>
      </x:c>
      <x:c r="J45" s="15" t="str">
        <x:v>Layout dependent</x:v>
      </x:c>
      <x:c r="K45" s="15" t="str">
        <x:v>A handwheel cannot be electronically prevented from moving without a mechanical solution</x:v>
      </x:c>
      <x:c r="L45" s="25" t="str"/>
      <x:c r="M45" s="15" t="str">
        <x:v>May require replacement rather than a sensor alone</x:v>
      </x:c>
    </x:row>
    <x:row r="46" ht="78" customHeight="1">
      <x:c r="A46" s="15" t="str">
        <x:v>R01</x:v>
      </x:c>
      <x:c r="B46" s="15" t="str">
        <x:v>3</x:v>
      </x:c>
      <x:c r="C46" s="17" t="str">
        <x:v>Hold</x:v>
      </x:c>
      <x:c r="D46" s="15" t="str">
        <x:v>Cryopump cold/ready signal</x:v>
      </x:c>
      <x:c r="E46" s="18" t="n">
        <x:v>1</x:v>
      </x:c>
      <x:c r="F46" s="19"/>
      <x:c r="G46" s="16" t="str">
        <x:f>IF(ISNUMBER(F46),E46*F46,"Quote")</x:f>
        <x:v>Quote</x:v>
      </x:c>
      <x:c r="H46" s="15" t="str">
        <x:v>Existing supported cryogenic controller relay/status preferred</x:v>
      </x:c>
      <x:c r="I46" s="15" t="str">
        <x:v>Cryopump/temperature controller OEM</x:v>
      </x:c>
      <x:c r="J46" s="15" t="str">
        <x:v>Model dependent</x:v>
      </x:c>
      <x:c r="K46" s="15" t="str">
        <x:v>Compressor ON is not cold/ready; no room-temperature Arduino sensor substitute</x:v>
      </x:c>
      <x:c r="L46" s="25" t="str"/>
      <x:c r="M46" s="15" t="str">
        <x:v>Need cold-head/thermometer/controller model</x:v>
      </x:c>
    </x:row>
    <x:row r="47" ht="78" customHeight="1">
      <x:c r="A47" s="15" t="str">
        <x:v>R02</x:v>
      </x:c>
      <x:c r="B47" s="15" t="str">
        <x:v>3–4</x:v>
      </x:c>
      <x:c r="C47" s="17" t="str">
        <x:v>Hold</x:v>
      </x:c>
      <x:c r="D47" s="15" t="str">
        <x:v>Rough pump running/ready proof</x:v>
      </x:c>
      <x:c r="E47" s="18" t="n">
        <x:v>1</x:v>
      </x:c>
      <x:c r="F47" s="19"/>
      <x:c r="G47" s="16" t="str">
        <x:f>IF(ISNUMBER(F47),E47*F47,"Quote")</x:f>
        <x:v>Quote</x:v>
      </x:c>
      <x:c r="H47" s="15" t="str">
        <x:v>Existing controller contact or verified run monitoring; commanded ON is not proof</x:v>
      </x:c>
      <x:c r="I47" s="15" t="str">
        <x:v>Pump OEM / reviewed monitoring interface</x:v>
      </x:c>
      <x:c r="J47" s="15" t="str">
        <x:v>Model dependent</x:v>
      </x:c>
      <x:c r="K47" s="15" t="str">
        <x:v>Pump switching outside current scope; status still required for valve permission</x:v>
      </x:c>
      <x:c r="L47" s="25" t="str"/>
      <x:c r="M47" s="15" t="str">
        <x:v>Document which pump is selected and other pump isolation</x:v>
      </x:c>
    </x:row>
    <x:row r="48" ht="78" customHeight="1">
      <x:c r="A48" s="15" t="str">
        <x:v>C01</x:v>
      </x:c>
      <x:c r="B48" s="15" t="str">
        <x:v>Prep</x:v>
      </x:c>
      <x:c r="C48" s="17" t="str">
        <x:v>Reuse</x:v>
      </x:c>
      <x:c r="D48" s="15" t="str">
        <x:v>CTI 8200 cryogenic compressor</x:v>
      </x:c>
      <x:c r="E48" s="18" t="n">
        <x:v>1</x:v>
      </x:c>
      <x:c r="F48" s="19" t="n">
        <x:v>0</x:v>
      </x:c>
      <x:c r="G48" s="16" t="n">
        <x:f>IF(ISNUMBER(F48),E48*F48,"Quote")</x:f>
        <x:v>0</x:v>
      </x:c>
      <x:c r="H48" s="15" t="str">
        <x:v>User-reported model; cooling variant and matched services unverified</x:v>
      </x:c>
      <x:c r="I48" s="15" t="str">
        <x:v>Owned compressor</x:v>
      </x:c>
      <x:c r="J48" s="15" t="str">
        <x:v>User reports owned</x:v>
      </x:c>
      <x:c r="K48" s="15" t="str">
        <x:v>Read nameplate and compressor manual before buying water parts</x:v>
      </x:c>
      <x:c r="L48" s="25" t="str"/>
      <x:c r="M48" s="15" t="str">
        <x:v>Compressor compresses circulating helium, not chamber exhaust</x:v>
      </x:c>
    </x:row>
    <x:row r="49" ht="78" customHeight="1">
      <x:c r="A49" s="15" t="str">
        <x:v>C02</x:v>
      </x:c>
      <x:c r="B49" s="15" t="str">
        <x:v>Prep</x:v>
      </x:c>
      <x:c r="C49" s="17" t="str">
        <x:v>Hold</x:v>
      </x:c>
      <x:c r="D49" s="15" t="str">
        <x:v>Matched helium supply and return hoses</x:v>
      </x:c>
      <x:c r="E49" s="18" t="n">
        <x:v>1</x:v>
      </x:c>
      <x:c r="F49" s="19"/>
      <x:c r="G49" s="16" t="str">
        <x:f>IF(ISNUMBER(F49),E49*F49,"Quote")</x:f>
        <x:v>Quote</x:v>
      </x:c>
      <x:c r="H49" s="15" t="str">
        <x:v>OEM-rated self-sealing hose pair and couplings; routing and charge per actual manual</x:v>
      </x:c>
      <x:c r="I49" s="15" t="str">
        <x:v>Cryopump OEM</x:v>
      </x:c>
      <x:c r="J49" s="15" t="str">
        <x:v>Presence/condition unverified</x:v>
      </x:c>
      <x:c r="K49" s="15" t="str">
        <x:v>Two lines; never substitute pneumatic tubing</x:v>
      </x:c>
      <x:c r="L49" s="25" t="str"/>
      <x:c r="M49" s="15" t="str">
        <x:v>May already be installed; one pair placeholder</x:v>
      </x:c>
    </x:row>
    <x:row r="50" ht="78" customHeight="1">
      <x:c r="A50" s="15" t="str">
        <x:v>C03</x:v>
      </x:c>
      <x:c r="B50" s="15" t="str">
        <x:v>Prep</x:v>
      </x:c>
      <x:c r="C50" s="17" t="str">
        <x:v>Hold</x:v>
      </x:c>
      <x:c r="D50" s="15" t="str">
        <x:v>Cold-head power cable / correct mains services</x:v>
      </x:c>
      <x:c r="E50" s="18" t="n">
        <x:v>1</x:v>
      </x:c>
      <x:c r="F50" s="19"/>
      <x:c r="G50" s="16" t="str">
        <x:f>IF(ISNUMBER(F50),E50*F50,"Quote")</x:f>
        <x:v>Quote</x:v>
      </x:c>
      <x:c r="H50" s="15" t="str">
        <x:v>Matched compressor-to-cold-head cable and installed electrical supply</x:v>
      </x:c>
      <x:c r="I50" s="15" t="str">
        <x:v>Cryopump/compressor OEM</x:v>
      </x:c>
      <x:c r="J50" s="15" t="str">
        <x:v>Presence/ratings unverified</x:v>
      </x:c>
      <x:c r="K50" s="15" t="str">
        <x:v>Plug type/voltage/phase/frequency from labels; qualified lab wiring for mains</x:v>
      </x:c>
      <x:c r="L50" s="25" t="str"/>
      <x:c r="M50" s="15" t="str">
        <x:v>May already exist</x:v>
      </x:c>
    </x:row>
    <x:row r="51" ht="78" customHeight="1">
      <x:c r="A51" s="15" t="str">
        <x:v>C04</x:v>
      </x:c>
      <x:c r="B51" s="15" t="str">
        <x:v>Prep</x:v>
      </x:c>
      <x:c r="C51" s="17" t="str">
        <x:v>Hold</x:v>
      </x:c>
      <x:c r="D51" s="15" t="str">
        <x:v>Cooling service, only if required</x:v>
      </x:c>
      <x:c r="E51" s="18" t="n">
        <x:v>1</x:v>
      </x:c>
      <x:c r="F51" s="19"/>
      <x:c r="G51" s="16" t="str">
        <x:f>IF(ISNUMBER(F51),E51*F51,"Quote")</x:f>
        <x:v>Quote</x:v>
      </x:c>
      <x:c r="H51" s="15" t="str">
        <x:v>Water inlet/return, flow/temp/pressure/quality per model; air-cooled unit needs specified clearance</x:v>
      </x:c>
      <x:c r="I51" s="15" t="str">
        <x:v>Lab facility / compressor OEM</x:v>
      </x:c>
      <x:c r="J51" s="15" t="str">
        <x:v>Cooling variant unknown</x:v>
      </x:c>
      <x:c r="K51" s="15" t="str">
        <x:v>Do not buy a chiller until compressor identified</x:v>
      </x:c>
      <x:c r="L51" s="25" t="str"/>
      <x:c r="M51" s="15" t="str">
        <x:v>Not every compressor needs water</x:v>
      </x:c>
    </x:row>
    <x:row r="52" ht="78" customHeight="1">
      <x:c r="A52" s="15" t="str">
        <x:v>C05</x:v>
      </x:c>
      <x:c r="B52" s="15" t="str">
        <x:v>Prep</x:v>
      </x:c>
      <x:c r="C52" s="17" t="str">
        <x:v>Hold</x:v>
      </x:c>
      <x:c r="D52" s="15" t="str">
        <x:v>Cryopump regeneration/roughing/purge and relief provisions</x:v>
      </x:c>
      <x:c r="E52" s="18" t="n">
        <x:v>1</x:v>
      </x:c>
      <x:c r="F52" s="19"/>
      <x:c r="G52" s="16" t="str">
        <x:f>IF(ISNUMBER(F52),E52*F52,"Quote")</x:f>
        <x:v>Quote</x:v>
      </x:c>
      <x:c r="H52" s="15" t="str">
        <x:v>Documented rough connection, vent/purge procedure and relief path</x:v>
      </x:c>
      <x:c r="I52" s="15" t="str">
        <x:v>Cryopump OEM / lab vacuum services</x:v>
      </x:c>
      <x:c r="J52" s="15" t="str">
        <x:v>Existing provision unknown</x:v>
      </x:c>
      <x:c r="K52" s="15" t="str">
        <x:v>Follow actual pump manual; controller must not improvise regeneration</x:v>
      </x:c>
      <x:c r="L52" s="25" t="str"/>
      <x:c r="M52" s="15" t="str">
        <x:v>May be installed; current software scope excludes regeneration</x:v>
      </x:c>
    </x:row>
    <x:row r="53" ht="78" customHeight="1">
      <x:c r="A53" s="15" t="str">
        <x:v>O04</x:v>
      </x:c>
      <x:c r="B53" s="15" t="str">
        <x:v>3–4</x:v>
      </x:c>
      <x:c r="C53" s="17" t="str">
        <x:v>Reuse</x:v>
      </x:c>
      <x:c r="D53" s="15" t="str">
        <x:v>Agilent IDP-15 dry scroll roughing pump</x:v>
      </x:c>
      <x:c r="E53" s="18" t="n">
        <x:v>1</x:v>
      </x:c>
      <x:c r="F53" s="19" t="n">
        <x:v>0</x:v>
      </x:c>
      <x:c r="G53" s="16" t="n">
        <x:f>IF(ISNUMBER(F53),E53*F53,"Quote")</x:f>
        <x:v>0</x:v>
      </x:c>
      <x:c r="H53" s="15" t="str">
        <x:v>Model user-reported; verify inlet valve variant and running-ready signal</x:v>
      </x:c>
      <x:c r="I53" s="15" t="str">
        <x:v>Owned</x:v>
      </x:c>
      <x:c r="J53" s="15" t="str">
        <x:v>User reports owned</x:v>
      </x:c>
      <x:c r="K53" s="15" t="str">
        <x:v>No turbo means no turbo backing-pump requirement on this stand</x:v>
      </x:c>
      <x:c r="L53" s="25" t="str"/>
      <x:c r="M53" s="15" t="str">
        <x:v>Model/capacity/running proof still needed</x:v>
      </x:c>
    </x:row>
    <x:row r="54" ht="78" customHeight="1">
      <x:c r="A54" s="15" t="str">
        <x:v>O05</x:v>
      </x:c>
      <x:c r="B54" s="15" t="str">
        <x:v>Prep</x:v>
      </x:c>
      <x:c r="C54" s="17" t="str">
        <x:v>Reuse</x:v>
      </x:c>
      <x:c r="D54" s="15" t="str">
        <x:v>Alcatel 2008A / Varian SD-90 oil pump alternatives</x:v>
      </x:c>
      <x:c r="E54" s="18" t="n">
        <x:v>1</x:v>
      </x:c>
      <x:c r="F54" s="19" t="n">
        <x:v>0</x:v>
      </x:c>
      <x:c r="G54" s="16" t="n">
        <x:f>IF(ISNUMBER(F54),E54*F54,"Quote")</x:f>
        <x:v>0</x:v>
      </x:c>
      <x:c r="H54" s="15" t="str">
        <x:v>KJL TSR4MS100QF foreline trap is separate from exhaust mist filtration</x:v>
      </x:c>
      <x:c r="I54" s="15" t="str">
        <x:v>Owned</x:v>
      </x:c>
      <x:c r="J54" s="15" t="str">
        <x:v>User reports owned</x:v>
      </x:c>
      <x:c r="K54" s="15" t="str">
        <x:v>No new oil filter until pump and filter models known</x:v>
      </x:c>
      <x:c r="L54" s="25" t="str">
        <x:v>https://www.lesker.com/newweb/traps/traps_technicalnotes.cfm?pgid=0</x:v>
      </x:c>
      <x:c r="M54" s="15" t="str">
        <x:v>Exhaust mist filter, inlet foreline trap and compressor adsorber are different</x:v>
      </x:c>
    </x:row>
    <x:row r="55" ht="78" customHeight="1">
      <x:c r="A55" s="15" t="str">
        <x:v>F01</x:v>
      </x:c>
      <x:c r="B55" s="15" t="str">
        <x:v>5</x:v>
      </x:c>
      <x:c r="C55" s="17" t="str">
        <x:v>Hold</x:v>
      </x:c>
      <x:c r="D55" s="15" t="str">
        <x:v>Secured terminal assembly + labelled cable harness</x:v>
      </x:c>
      <x:c r="E55" s="18" t="n">
        <x:v>1</x:v>
      </x:c>
      <x:c r="F55" s="19"/>
      <x:c r="G55" s="16" t="str">
        <x:f>IF(ISNUMBER(F55),E55*F55,"Quote")</x:f>
        <x:v>Quote</x:v>
      </x:c>
      <x:c r="H55" s="15" t="str">
        <x:v>Fuse each appropriate circuit; strain relief; field/logic separation; correct conductor ratings</x:v>
      </x:c>
      <x:c r="I55" s="15" t="str">
        <x:v>DigiKey / approved terminal and cable supplier</x:v>
      </x:c>
      <x:c r="J55" s="15" t="str">
        <x:v>Design dependent</x:v>
      </x:c>
      <x:c r="K55" s="15" t="str">
        <x:v>No loose Dupont/breadboard connections for live stand operation</x:v>
      </x:c>
      <x:c r="L55" s="25" t="str"/>
      <x:c r="M55" s="15" t="str">
        <x:v>Final wire/terminal quantities from pin-level electrical drawing</x:v>
      </x:c>
    </x:row>
    <x:row r="56" ht="78" customHeight="1">
      <x:c r="A56" s="15" t="str">
        <x:v>F02</x:v>
      </x:c>
      <x:c r="B56" s="15" t="str">
        <x:v>5</x:v>
      </x:c>
      <x:c r="C56" s="17" t="str">
        <x:v>Hold</x:v>
      </x:c>
      <x:c r="D56" s="15" t="str">
        <x:v>Enclosure, mounts, fuses, disconnect and close controls</x:v>
      </x:c>
      <x:c r="E56" s="18" t="n">
        <x:v>1</x:v>
      </x:c>
      <x:c r="F56" s="19"/>
      <x:c r="G56" s="16" t="str">
        <x:f>IF(ISNUMBER(F56),E56*F56,"Quote")</x:f>
        <x:v>Quote</x:v>
      </x:c>
      <x:c r="H56" s="15" t="str">
        <x:v>Accessible close/inhibit; protected terminals; protective bonding as required</x:v>
      </x:c>
      <x:c r="I56" s="15" t="str">
        <x:v>Trusted electrical enclosure/component OEM</x:v>
      </x:c>
      <x:c r="J56" s="15" t="str">
        <x:v>Design dependent</x:v>
      </x:c>
      <x:c r="K56" s="15" t="str">
        <x:v>Sized after hardware is assembled; existing panel may be reused</x:v>
      </x:c>
      <x:c r="L56" s="25" t="str"/>
      <x:c r="M56" s="15" t="str">
        <x:v>Run / vent / reset / off controls included; manual requests remain interlocked</x:v>
      </x:c>
    </x:row>
    <x:row r="57" ht="78" customHeight="1">
      <x:c r="A57" s="15" t="str">
        <x:v>F03</x:v>
      </x:c>
      <x:c r="B57" s="15" t="str">
        <x:v>5</x:v>
      </x:c>
      <x:c r="C57" s="17" t="str">
        <x:v>Optional</x:v>
      </x:c>
      <x:c r="D57" s="15" t="str">
        <x:v>Additional I2C GPIO expander</x:v>
      </x:c>
      <x:c r="E57" s="18" t="n">
        <x:v>0</x:v>
      </x:c>
      <x:c r="F57" s="19" t="n">
        <x:v>5.95</x:v>
      </x:c>
      <x:c r="G57" s="16" t="n">
        <x:f>IF(ISNUMBER(F57),E57*F57,"Quote")</x:f>
        <x:v>0</x:v>
      </x:c>
      <x:c r="H57" s="15" t="str">
        <x:v>Adafruit 5346 MCP23017; 3/5 V logic, not a 24 V input module</x:v>
      </x:c>
      <x:c r="I57" s="15" t="str">
        <x:v>Adafruit 5346</x:v>
      </x:c>
      <x:c r="J57" s="15" t="str">
        <x:v>Price snapshot; availability must be rechecked</x:v>
      </x:c>
      <x:c r="K57" s="15" t="str">
        <x:v>Only if Uno plus driver auxiliary GPIO cannot meet verified I/O count</x:v>
      </x:c>
      <x:c r="L57" s="25" t="str">
        <x:v>https://www.adafruit.com/product/5346</x:v>
      </x:c>
      <x:c r="M57" s="15" t="str">
        <x:v>No product review rating verified; selected for OEM documentation/support. Price snapshot 07/10/2026 unless updated below.</x:v>
      </x:c>
    </x:row>
    <x:row r="58" ht="78" customHeight="1">
      <x:c r="A58" s="15" t="str">
        <x:v>F04</x:v>
      </x:c>
      <x:c r="B58" s="15" t="str">
        <x:v>5</x:v>
      </x:c>
      <x:c r="C58" s="17" t="str">
        <x:v>Optional</x:v>
      </x:c>
      <x:c r="D58" s="15" t="str">
        <x:v>Soldered prototype PCB, example</x:v>
      </x:c>
      <x:c r="E58" s="18" t="n">
        <x:v>0</x:v>
      </x:c>
      <x:c r="F58" s="19" t="n">
        <x:v>4.5</x:v>
      </x:c>
      <x:c r="G58" s="16" t="n">
        <x:f>IF(ISNUMBER(F58),E58*F58,"Quote")</x:f>
        <x:v>0</x:v>
      </x:c>
      <x:c r="H58" s="15" t="str">
        <x:v>Adafruit 1609; half-size Perma-Proto; use secured terminals or reviewed PCB</x:v>
      </x:c>
      <x:c r="I58" s="15" t="str">
        <x:v>Adafruit 1609</x:v>
      </x:c>
      <x:c r="J58" s="15" t="str">
        <x:v>Price snapshot; availability must be rechecked</x:v>
      </x:c>
      <x:c r="K58" s="15" t="str">
        <x:v>Example only, not quick-buy recommendation; lab stock or alternate terminal carrier preferred</x:v>
      </x:c>
      <x:c r="L58" s="25" t="str">
        <x:v>https://www.adafruit.com/product/1609</x:v>
      </x:c>
      <x:c r="M58" s="15" t="str">
        <x:v>No product review rating verified; selected for OEM documentation/support. Price snapshot 07/10/2026 unless updated below.</x:v>
      </x:c>
    </x:row>
    <x:row r="59" ht="78" customHeight="1">
      <x:c r="A59" s="15" t="str">
        <x:v>F05</x:v>
      </x:c>
      <x:c r="B59" s="15" t="str">
        <x:v>Later</x:v>
      </x:c>
      <x:c r="C59" s="17" t="str">
        <x:v>Optional</x:v>
      </x:c>
      <x:c r="D59" s="15" t="str">
        <x:v>Front-panel display</x:v>
      </x:c>
      <x:c r="E59" s="18" t="n">
        <x:v>0</x:v>
      </x:c>
      <x:c r="F59" s="19"/>
      <x:c r="G59" s="16" t="str">
        <x:f>IF(ISNUMBER(F59),E59*F59,"Quote")</x:f>
        <x:v>Quote</x:v>
      </x:c>
      <x:c r="H59" s="15" t="str">
        <x:v>Optional later; laptop readout sufficient now</x:v>
      </x:c>
      <x:c r="I59" s="15" t="str">
        <x:v>Not selected</x:v>
      </x:c>
      <x:c r="J59" s="15" t="str">
        <x:v>Not required now</x:v>
      </x:c>
      <x:c r="K59" s="15" t="str">
        <x:v>Display failure must not be able to stop close/fault processing</x:v>
      </x:c>
      <x:c r="L59" s="25" t="str"/>
      <x:c r="M59" s="15" t="str">
        <x:v>No LCD/touchscreen purchase in this BOM</x:v>
      </x:c>
    </x:row>
    <x:row r="60">
      <x:c r="A60" s="15" t="str">
        <x:v>B04</x:v>
      </x:c>
      <x:c r="B60" s="15" t="str">
        <x:v>1</x:v>
      </x:c>
      <x:c r="C60" s="17" t="str">
        <x:v>Optional</x:v>
      </x:c>
      <x:c r="D60" s="15" t="str">
        <x:v>150 mm male-to-male jumpers, 20-pack</x:v>
      </x:c>
      <x:c r="E60" s="18" t="n">
        <x:v>2</x:v>
      </x:c>
      <x:c r="F60" s="19" t="n">
        <x:v>1.95</x:v>
      </x:c>
      <x:c r="G60" s="16" t="n">
        <x:f>IF(ISNUMBER(F60),E60*F60,"Quote")</x:f>
        <x:v>3.9</x:v>
      </x:c>
      <x:c r="H60" s="15" t="str">
        <x:v>20 used; 40 suggested on hand. Buy only if owned wires insufficient</x:v>
      </x:c>
      <x:c r="I60" s="15" t="str">
        <x:v>Adafruit 1957</x:v>
      </x:c>
      <x:c r="J60" s="15" t="str">
        <x:v>In stock 09/10/2026</x:v>
      </x:c>
      <x:c r="K60" s="15" t="str">
        <x:v>Two packs provide 40 wires; optional subtotal $3.90</x:v>
      </x:c>
      <x:c r="L60" s="25" t="str">
        <x:v>https://www.adafruit.com/product/1957</x:v>
      </x:c>
      <x:c r="M60" s="15" t="str">
        <x:v>OEM listing; no review rating verified; checked 09/10/2026</x:v>
      </x:c>
    </x:row>
    <x:row r="61">
      <x:c r="A61" s="15" t="str">
        <x:v>G07</x:v>
      </x:c>
      <x:c r="B61" s="15" t="str">
        <x:v>2</x:v>
      </x:c>
      <x:c r="C61" s="17" t="str">
        <x:v>Hold</x:v>
      </x:c>
      <x:c r="D61" s="15" t="str">
        <x:v>Shielded RS485 cable + suitable harness terminals</x:v>
      </x:c>
      <x:c r="E61" s="18" t="n">
        <x:v>1</x:v>
      </x:c>
      <x:c r="F61" s="19"/>
      <x:c r="G61" s="16" t="str">
        <x:f>IF(ISNUMBER(F61),E61*F61,"Quote")</x:f>
        <x:v>Quote</x:v>
      </x:c>
      <x:c r="H61" s="15" t="str">
        <x:v>Length, reference, shield, termination and connector pinout must match installation</x:v>
      </x:c>
      <x:c r="I61" s="15" t="str">
        <x:v>Reuse or quote</x:v>
      </x:c>
      <x:c r="J61" s="15" t="str">
        <x:v>Not selected</x:v>
      </x:c>
      <x:c r="K61" s="15" t="str">
        <x:v>Not a generic straight-through RS232 cable</x:v>
      </x:c>
      <x:c r="L61" s="25" t="str"/>
      <x:c r="M61" s="15" t="str">
        <x:v>Interface-dependent; obtain cable specification before purchase</x:v>
      </x:c>
    </x:row>
    <x:row r="62">
      <x:c r="A62" s="15" t="str">
        <x:v>G08</x:v>
      </x:c>
      <x:c r="B62" s="15" t="str">
        <x:v>2</x:v>
      </x:c>
      <x:c r="C62" s="17" t="str">
        <x:v>Hold</x:v>
      </x:c>
      <x:c r="D62" s="15" t="str">
        <x:v>Hornet-to-CVG101 OEM sensor cable, if absent</x:v>
      </x:c>
      <x:c r="E62" s="18" t="n">
        <x:v>1</x:v>
      </x:c>
      <x:c r="F62" s="19"/>
      <x:c r="G62" s="16" t="str">
        <x:f>IF(ISNUMBER(F62),E62*F62,"Quote")</x:f>
        <x:v>Quote</x:v>
      </x:c>
      <x:c r="H62" s="15" t="str">
        <x:v>HB431-1-03F / HB431-1-10F candidate lengths; verify Hornet and Worker Bee compatibility</x:v>
      </x:c>
      <x:c r="I62" s="15" t="str">
        <x:v>InstruTech</x:v>
      </x:c>
      <x:c r="J62" s="15" t="str">
        <x:v>Quote required</x:v>
      </x:c>
      <x:c r="K62" s="15" t="str">
        <x:v>Locate existing cable first; generic DE-9 serial lead is not equivalent</x:v>
      </x:c>
      <x:c r="L62" s="25" t="str">
        <x:v>https://www.instrutechinc.com/media/127/download/IGM402%20User%20Manual%20Archived%20000861-115.pdf?v=1</x:v>
      </x:c>
      <x:c r="M62" s="15" t="str">
        <x:v>Archived manual accessories; instrument firmware and cable compatibility must match</x:v>
      </x:c>
    </x:row>
    <x:row r="63">
      <x:c r="A63" s="15" t="str">
        <x:v>G09</x:v>
      </x:c>
      <x:c r="B63" s="15" t="str">
        <x:v>2</x:v>
      </x:c>
      <x:c r="C63" s="17" t="str">
        <x:v>Hold</x:v>
      </x:c>
      <x:c r="D63" s="15" t="str">
        <x:v>24 V 2.5 A 60 W instrument PSU, if absent</x:v>
      </x:c>
      <x:c r="E63" s="18" t="n">
        <x:v>1</x:v>
      </x:c>
      <x:c r="F63" s="19" t="n">
        <x:v>19.4</x:v>
      </x:c>
      <x:c r="G63" s="16" t="n">
        <x:f>IF(ISNUMBER(F63),E63*F63,"Quote")</x:f>
        <x:v>19.4</x:v>
      </x:c>
      <x:c r="H63" s="15" t="str">
        <x:v>Conservative Hornet supply candidate; mains cord and instrument harness separate</x:v>
      </x:c>
      <x:c r="I63" s="15" t="str">
        <x:v>Mean Well GST60A24-P1J / DigiKey</x:v>
      </x:c>
      <x:c r="J63" s="15" t="str">
        <x:v>Listed price rechecked 09/10/2026</x:v>
      </x:c>
      <x:c r="K63" s="15" t="str">
        <x:v>Reuse existing approved supply; barrel adapter is not a direct Hornet connector</x:v>
      </x:c>
      <x:c r="L63" s="25" t="str">
        <x:v>https://www.digikey.com/en/products/detail/mean-well-usa-inc/GST60A24-P1J/7703715</x:v>
      </x:c>
      <x:c r="M63" s="15" t="str">
        <x:v>Authorized distributor; no review rating verified; checked 09/10/2026</x:v>
      </x:c>
    </x:row>
  </x:sheetData>
  <x:mergeCells>
    <x:mergeCell ref="A1:G1"/>
    <x:mergeCell ref="A2:G2"/>
    <x:mergeCell ref="A4:D4"/>
    <x:mergeCell ref="E4:G4"/>
    <x:mergeCell ref="A5:D5"/>
    <x:mergeCell ref="E5:G5"/>
    <x:mergeCell ref="A6:D6"/>
    <x:mergeCell ref="E6:G6"/>
    <x:mergeCell ref="H4:M6"/>
    <x:mergeCell ref="A8:G8"/>
    <x:mergeCell ref="A9:G9"/>
  </x:mergeCells>
  <x:dataValidations count="1">
    <x:dataValidation type="list" sqref="C12:C59">
      <x:formula1>"Buy now,Hold,Reuse,Borrow,Optional"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5d9544e4674fe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.110000133514404" hidden="0" customWidth="1"/>
    <x:col min="2" max="2" width="18.889999389648438" hidden="0" customWidth="1"/>
    <x:col min="3" max="3" width="32.220001220703125" hidden="0" customWidth="1"/>
    <x:col min="4" max="4" width="28.329999923706055" hidden="0" customWidth="1"/>
    <x:col min="5" max="5" width="39.439998626708984" hidden="0" customWidth="1"/>
    <x:col min="6" max="6" width="38.88999938964844" hidden="0" customWidth="1"/>
    <x:col min="7" max="7" width="13.890000343322754" hidden="0" customWidth="1"/>
  </x:cols>
  <x:sheetData>
    <x:row r="1" ht="33.75" customHeight="1">
      <x:c r="A1" s="21" t="str">
        <x:v>HARDWARE IDENTIFICATION • COMPLETE BEFORE FIELD PURCHASES</x:v>
      </x:c>
      <x:c r="B1" s="21"/>
      <x:c r="C1" s="21"/>
      <x:c r="D1" s="21"/>
      <x:c r="E1" s="21"/>
      <x:c r="F1" s="15"/>
      <x:c r="G1" s="15"/>
    </x:row>
    <x:row r="2" ht="31.5" customHeight="1">
      <x:c r="A2" s="15" t="str">
        <x:v>Reported model names are incorporated; function, terminals and services still need physical verification.</x:v>
      </x:c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 ht="31.5" customHeight="1">
      <x:c r="A4" s="23" t="str">
        <x:v>ID</x:v>
      </x:c>
      <x:c r="B4" s="23" t="str">
        <x:v>Assembly</x:v>
      </x:c>
      <x:c r="C4" s="23" t="str">
        <x:v>Observed evidence</x:v>
      </x:c>
      <x:c r="D4" s="23" t="str">
        <x:v>Remaining uncertainty</x:v>
      </x:c>
      <x:c r="E4" s="23" t="str">
        <x:v>Exact information needed</x:v>
      </x:c>
      <x:c r="F4" s="23" t="str">
        <x:v>User finding / terminal map</x:v>
      </x:c>
      <x:c r="G4" s="23" t="str">
        <x:v>Status</x:v>
      </x:c>
    </x:row>
    <x:row r="5" ht="79.5" customHeight="1">
      <x:c r="A5" s="15" t="str">
        <x:v>H01</x:v>
      </x:c>
      <x:c r="B5" s="15" t="str">
        <x:v>Cryopump</x:v>
      </x:c>
      <x:c r="C5" s="15" t="str">
        <x:v>User reports Cryo-Torr 8; earlier photo shows coldhead/helium pair</x:v>
      </x:c>
      <x:c r="D5" s="15" t="str">
        <x:v>Model reported; temperature readout and service condition unverified</x:v>
      </x:c>
      <x:c r="E5" s="15" t="str">
        <x:v>Cryogenic sensor/readout; readiness threshold; matched services</x:v>
      </x:c>
      <x:c r="F5" s="17" t="str">
        <x:v>Cryo-Torr 8</x:v>
      </x:c>
      <x:c r="G5" s="17" t="str">
        <x:v>Model reported; field unverified</x:v>
      </x:c>
    </x:row>
    <x:row r="6" ht="79.5" customHeight="1">
      <x:c r="A6" s="15" t="str">
        <x:v>H02</x:v>
      </x:c>
      <x:c r="B6" s="15" t="str">
        <x:v>Compressor</x:v>
      </x:c>
      <x:c r="C6" s="15" t="str">
        <x:v>User reports CTI 8200</x:v>
      </x:c>
      <x:c r="D6" s="15" t="str">
        <x:v>Cooling variant and services not verified</x:v>
      </x:c>
      <x:c r="E6" s="15" t="str">
        <x:v>Full nameplate; air/water variant; mains and matching hoses/cable</x:v>
      </x:c>
      <x:c r="F6" s="17" t="str">
        <x:v>CTI 8200</x:v>
      </x:c>
      <x:c r="G6" s="17" t="str">
        <x:v>Model reported; field unverified</x:v>
      </x:c>
    </x:row>
    <x:row r="7" ht="79.5" customHeight="1">
      <x:c r="A7" s="15" t="str">
        <x:v>H03</x:v>
      </x:c>
      <x:c r="B7" s="15" t="str">
        <x:v>Large cryo gate</x:v>
      </x:c>
      <x:c r="C7" s="15" t="str">
        <x:v>IMG_2742: cylinder with C/O fittings, loose-looking leads</x:v>
      </x:c>
      <x:c r="D7" s="15" t="str">
        <x:v>Appears pneumatic; not confirmed as-installed or functional</x:v>
      </x:c>
      <x:c r="E7" s="15" t="str">
        <x:v>Valve body tag; actuator/pilot tags; C/O definition; air pressure; default state; travel contacts</x:v>
      </x:c>
      <x:c r="F7" s="17" t="str"/>
      <x:c r="G7" s="17" t="str">
        <x:v>Not verified</x:v>
      </x:c>
    </x:row>
    <x:row r="8" ht="79.5" customHeight="1">
      <x:c r="A8" s="15" t="str">
        <x:v>H04</x:v>
      </x:c>
      <x:c r="B8" s="15" t="str">
        <x:v>Manual angle valve</x:v>
      </x:c>
      <x:c r="C8" s="15" t="str">
        <x:v>IMG_2740 rotated: SA0100MVQF appears legible</x:v>
      </x:c>
      <x:c r="D8" s="15" t="str">
        <x:v>Legacy part; current SAV0100MVQF equivalence NOT confirmed</x:v>
      </x:c>
      <x:c r="E8" s="15" t="str">
        <x:v>OEM confirms legacy part; port size; which chamber route it serves</x:v>
      </x:c>
      <x:c r="F8" s="17" t="str"/>
      <x:c r="G8" s="17" t="str">
        <x:v>Not verified</x:v>
      </x:c>
    </x:row>
    <x:row r="9" ht="79.5" customHeight="1">
      <x:c r="A9" s="15" t="str">
        <x:v>H05</x:v>
      </x:c>
      <x:c r="B9" s="15" t="str">
        <x:v>Other handwheel valves</x:v>
      </x:c>
      <x:c r="C9" s="15" t="str">
        <x:v>IMG_2737 and IMG_2739 show hand-operated branches</x:v>
      </x:c>
      <x:c r="D9" s="15" t="str">
        <x:v>Route/flow/vent vs roughing not identified</x:v>
      </x:c>
      <x:c r="E9" s="15" t="str">
        <x:v>Trace every hose/flange to chamber/pump/gas source; identify bypasses</x:v>
      </x:c>
      <x:c r="F9" s="17" t="str"/>
      <x:c r="G9" s="17" t="str">
        <x:v>Not verified</x:v>
      </x:c>
    </x:row>
    <x:row r="10" ht="79.5" customHeight="1">
      <x:c r="A10" s="15" t="str">
        <x:v>H06</x:v>
      </x:c>
      <x:c r="B10" s="15" t="str">
        <x:v>Hornet</x:v>
      </x:c>
      <x:c r="C10" s="15" t="str">
        <x:v>User reports Hornet IGM402YFD, 20-28 VDC</x:v>
      </x:c>
      <x:c r="D10" s="15" t="str">
        <x:v>Firmware, supply and installed sensor set unverified</x:v>
      </x:c>
      <x:c r="E10" s="15" t="str">
        <x:v>INFO firmware; connector labels; existing supply and CVG cable</x:v>
      </x:c>
      <x:c r="F10" s="17" t="str">
        <x:v>IGM402YFD, 20-28 VDC</x:v>
      </x:c>
      <x:c r="G10" s="17" t="str">
        <x:v>Model reported; field unverified</x:v>
      </x:c>
    </x:row>
    <x:row r="11" ht="79.5" customHeight="1">
      <x:c r="A11" s="15" t="str">
        <x:v>H07</x:v>
      </x:c>
      <x:c r="B11" s="15" t="str">
        <x:v>Dry scroll pump</x:v>
      </x:c>
      <x:c r="C11" s="15" t="str">
        <x:v>User reports Agilent IDP-15</x:v>
      </x:c>
      <x:c r="D11" s="15" t="str">
        <x:v>Inlet-valve variant and running-ready signal unknown</x:v>
      </x:c>
      <x:c r="E11" s="15" t="str">
        <x:v>Exact installed variant; route; isolation control; pump readiness</x:v>
      </x:c>
      <x:c r="F11" s="17" t="str">
        <x:v>Agilent IDP-15</x:v>
      </x:c>
      <x:c r="G11" s="17" t="str">
        <x:v>Model reported; field unverified</x:v>
      </x:c>
    </x:row>
    <x:row r="12" ht="79.5" customHeight="1">
      <x:c r="A12" s="15" t="str">
        <x:v>H08</x:v>
      </x:c>
      <x:c r="B12" s="15" t="str">
        <x:v>Oil-sealed pump/filter</x:v>
      </x:c>
      <x:c r="C12" s="15" t="str">
        <x:v>User reports Alcatel 2008A, Varian SD-90, KJL TSR4MS100QF</x:v>
      </x:c>
      <x:c r="D12" s="15" t="str">
        <x:v>Condition and actual trap/exhaust configuration unverified</x:v>
      </x:c>
      <x:c r="E12" s="15" t="str">
        <x:v>Identify inlet foreline trap separately from exhaust mist filter</x:v>
      </x:c>
      <x:c r="F12" s="17" t="str">
        <x:v>Alcatel 2008A / Varian SD-90 / KJL trap</x:v>
      </x:c>
      <x:c r="G12" s="17" t="str">
        <x:v>Model reported; field unverified</x:v>
      </x:c>
    </x:row>
    <x:row r="13" ht="79.5" customHeight="1">
      <x:c r="A13" s="15" t="str">
        <x:v>H09</x:v>
      </x:c>
      <x:c r="B13" s="15" t="str">
        <x:v>Actuation gas services</x:v>
      </x:c>
      <x:c r="C13" s="15" t="str">
        <x:v>Nitrogen cylinder; DeWalt 175 max PSI and Bostitch 8 gal reported</x:v>
      </x:c>
      <x:c r="D13" s="15" t="str">
        <x:v>Regulation and gas compatibility unverified</x:v>
      </x:c>
      <x:c r="E13" s="15" t="str">
        <x:v>Regulator/pilot labels; supply pressure proof; vent route separate</x:v>
      </x:c>
      <x:c r="F13" s="17" t="str">
        <x:v>Nitrogen + workshop air compressors</x:v>
      </x:c>
      <x:c r="G13" s="17" t="str">
        <x:v>Model reported; field unverified</x:v>
      </x:c>
    </x:row>
    <x:row r="14" ht="79.5" customHeight="1">
      <x:c r="A14" s="15" t="str">
        <x:v>H10</x:v>
      </x:c>
      <x:c r="B14" s="15" t="str">
        <x:v>Cryogenic readiness</x:v>
      </x:c>
      <x:c r="C14" s="15" t="str">
        <x:v>No temperature controller identified</x:v>
      </x:c>
      <x:c r="D14" s="15" t="str">
        <x:v>Compressor ON cannot substitute for cold proof</x:v>
      </x:c>
      <x:c r="E14" s="15" t="str">
        <x:v>Installed cryogenic sensor/controller and ready signal; trip behavior</x:v>
      </x:c>
      <x:c r="F14" s="17" t="str"/>
      <x:c r="G14" s="17" t="str">
        <x:v>Not verified</x:v>
      </x:c>
    </x:row>
    <x:row r="15" ht="79.5" customHeight="1">
      <x:c r="A15" s="15" t="str">
        <x:v>H11</x:v>
      </x:c>
      <x:c r="B15" s="15" t="str">
        <x:v>Rough gauge range</x:v>
      </x:c>
      <x:c r="C15" s="15" t="str">
        <x:v>Worker Bee CVG101GC possibly available; Hornet IGM402 reported</x:v>
      </x:c>
      <x:c r="D15" s="15" t="str">
        <x:v>Sensor presence/function and OEM cable not verified</x:v>
      </x:c>
      <x:c r="E15" s="15" t="str">
        <x:v>Locate Worker Bee; verify flange, cable and low-vacuum readings</x:v>
      </x:c>
      <x:c r="F15" s="17" t="str">
        <x:v>Possible CVG101GC</x:v>
      </x:c>
      <x:c r="G15" s="17" t="str">
        <x:v>Model reported; field unverified</x:v>
      </x:c>
    </x:row>
    <x:row r="16" ht="79.5" customHeight="1">
      <x:c r="A16" s="15" t="str">
        <x:v>H12</x:v>
      </x:c>
      <x:c r="B16" s="15" t="str">
        <x:v>Cooling services</x:v>
      </x:c>
      <x:c r="C16" s="15" t="str">
        <x:v>Depends on compressor cooling variant</x:v>
      </x:c>
      <x:c r="D16" s="15" t="str">
        <x:v>Do not infer a water requirement</x:v>
      </x:c>
      <x:c r="E16" s="15" t="str">
        <x:v>Air clearance/ambient spec OR water flow/temp/pressure/quality/return route from OEM</x:v>
      </x:c>
      <x:c r="F16" s="17" t="str"/>
      <x:c r="G16" s="17" t="str">
        <x:v>Not verified</x:v>
      </x:c>
    </x:row>
    <x:row r="17" ht="79.5" customHeight="1">
      <x:c r="A17" s="15" t="str">
        <x:v>H13</x:v>
      </x:c>
      <x:c r="B17" s="15" t="str">
        <x:v>Helium / cold-head power</x:v>
      </x:c>
      <x:c r="C17" s="15" t="str">
        <x:v>Two pump couplings visible</x:v>
      </x:c>
      <x:c r="D17" s="15" t="str">
        <x:v>Matched compressor hoses/cable presence unknown</x:v>
      </x:c>
      <x:c r="E17" s="15" t="str">
        <x:v>Helium supply/return pair; self-sealing couplings; cold-head cable; OEM charge condition</x:v>
      </x:c>
      <x:c r="F17" s="17" t="str"/>
      <x:c r="G17" s="17" t="str">
        <x:v>Not verified</x:v>
      </x:c>
    </x:row>
    <x:row r="18" ht="79.5" customHeight="1">
      <x:c r="A18" s="15" t="str">
        <x:v>H14</x:v>
      </x:c>
      <x:c r="B18" s="15" t="str">
        <x:v>Vacuum topology</x:v>
      </x:c>
      <x:c r="C18" s="15" t="str">
        <x:v>Small chamber with cryopump reported</x:v>
      </x:c>
      <x:c r="D18" s="15" t="str">
        <x:v>Current as-built diagram incomplete</x:v>
      </x:c>
      <x:c r="E18" s="15" t="str">
        <x:v>Three controlled routes cryo/rough/vent; identify regeneration/purge/relief and all manual bypasses</x:v>
      </x:c>
      <x:c r="F18" s="17" t="str"/>
      <x:c r="G18" s="17" t="str">
        <x:v>Not verified</x:v>
      </x:c>
    </x:row>
    <x:row r="19" ht="79.5" customHeight="1">
      <x:c r="A19" s="15" t="str">
        <x:v>H15</x:v>
      </x:c>
      <x:c r="B19" s="15" t="str">
        <x:v>Switch and sensor wiring</x:v>
      </x:c>
      <x:c r="C19" s="15" t="str">
        <x:v>No field terminal map yet</x:v>
      </x:c>
      <x:c r="D19" s="15" t="str">
        <x:v>A wire count does not prove SPST/SPDT use or sensor type</x:v>
      </x:c>
      <x:c r="E19" s="15" t="str">
        <x:v>Power-off continuity; label common/throws; identify dry contact vs powered sensor before wiring</x:v>
      </x:c>
      <x:c r="F19" s="17" t="str"/>
      <x:c r="G19" s="17" t="str">
        <x:v>Not verified</x:v>
      </x:c>
    </x:row>
    <x:row r="20" ht="79.5" customHeight="1">
      <x:c r="A20" s="15" t="str">
        <x:v>H16</x:v>
      </x:c>
      <x:c r="B20" s="15" t="str">
        <x:v>Pump switching boundary</x:v>
      </x:c>
      <x:c r="C20" s="15" t="str">
        <x:v>User says pumps operated elsewhere</x:v>
      </x:c>
      <x:c r="D20" s="15" t="str">
        <x:v>Valve-only scope does not remove need for status</x:v>
      </x:c>
      <x:c r="E20" s="15" t="str">
        <x:v>Agree who supplies pump running/ready/temp data; never substitute operator assumption in AUTO</x:v>
      </x:c>
      <x:c r="F20" s="17" t="str"/>
      <x:c r="G20" s="17" t="str">
        <x:v>Not verified</x:v>
      </x:c>
    </x:row>
    <x:row r="21" ht="79.5" customHeight="1">
      <x:c r="A21" s="15" t="str">
        <x:v>H17</x:v>
      </x:c>
      <x:c r="B21" s="15" t="str">
        <x:v>Power and failure behavior</x:v>
      </x:c>
      <x:c r="C21" s="15" t="str">
        <x:v>Uno and breadboard owned</x:v>
      </x:c>
      <x:c r="D21" s="15" t="str">
        <x:v>Live fail-close behavior unproven</x:v>
      </x:c>
      <x:c r="E21" s="15" t="str">
        <x:v>Actual power loss/air loss response; independent closing provision; output enable default; ratings</x:v>
      </x:c>
      <x:c r="F21" s="17" t="str"/>
      <x:c r="G21" s="17" t="str">
        <x:v>Not verified</x:v>
      </x:c>
    </x:row>
  </x:sheetData>
  <x:mergeCells>
    <x:mergeCell ref="A1:E1"/>
    <x:mergeCell ref="A2:E2"/>
  </x:mergeCells>
  <x:dataValidations count="1">
    <x:dataValidation type="list" sqref="G5:G21">
      <x:formula1>"Not verified,Identified,Bench verified,Field 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50b87d381f41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.110000133514404" hidden="0" customWidth="1"/>
    <x:col min="2" max="2" width="6.670000076293945" hidden="0" customWidth="1"/>
    <x:col min="3" max="3" width="26.110000610351562" hidden="0" customWidth="1"/>
    <x:col min="4" max="4" width="35" hidden="0" customWidth="1"/>
    <x:col min="5" max="5" width="36.66999816894531" hidden="0" customWidth="1"/>
    <x:col min="6" max="6" width="39.439998626708984" hidden="0" customWidth="1"/>
    <x:col min="7" max="7" width="27.780000686645508" hidden="0" customWidth="1"/>
    <x:col min="8" max="8" width="12.779999732971191" hidden="0" customWidth="1"/>
  </x:cols>
  <x:sheetData>
    <x:row r="1" ht="33.75" customHeight="1">
      <x:c r="A1" s="21" t="str">
        <x:v>DEVELOPMENT PHASES &amp; ACCEPTANCE • WORKING AUTONOMY MUST BE DEMONSTRATED</x:v>
      </x:c>
      <x:c r="B1" s="21"/>
      <x:c r="C1" s="21"/>
      <x:c r="D1" s="21"/>
      <x:c r="E1" s="21"/>
      <x:c r="F1" s="21"/>
      <x:c r="G1" s="15"/>
      <x:c r="H1" s="15"/>
    </x:row>
    <x:row r="2" ht="31.5" customHeight="1">
      <x:c r="A2" s="15" t="str">
        <x:v>Five build phases. Prep is inventory only. Host software PASS does not mark physical acceptance as passed.</x:v>
      </x:c>
      <x:c r="B2" s="15"/>
      <x:c r="C2" s="15"/>
      <x:c r="D2" s="15"/>
      <x:c r="E2" s="15"/>
      <x:c r="F2" s="15"/>
      <x:c r="G2" s="15"/>
      <x:c r="H2" s="15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 ht="31.5" customHeight="1">
      <x:c r="A4" s="23" t="str">
        <x:v>ID</x:v>
      </x:c>
      <x:c r="B4" s="23" t="str">
        <x:v>Phase</x:v>
      </x:c>
      <x:c r="C4" s="23" t="str">
        <x:v>Build objective</x:v>
      </x:c>
      <x:c r="D4" s="23" t="str">
        <x:v>Essential hardware / boundary</x:v>
      </x:c>
      <x:c r="E4" s="23" t="str">
        <x:v>Implementation</x:v>
      </x:c>
      <x:c r="F4" s="23" t="str">
        <x:v>Exit criterion</x:v>
      </x:c>
      <x:c r="G4" s="23" t="str">
        <x:v>Evidence / date / operator</x:v>
      </x:c>
      <x:c r="H4" s="23" t="str">
        <x:v>Result</x:v>
      </x:c>
    </x:row>
    <x:row r="5" ht="97.5" customHeight="1">
      <x:c r="A5" s="15" t="str">
        <x:v>PREP</x:v>
      </x:c>
      <x:c r="B5" s="15" t="str">
        <x:v>Prep</x:v>
      </x:c>
      <x:c r="C5" s="15" t="str">
        <x:v>Inventory / identify interfaces (not a build phase)</x:v>
      </x:c>
      <x:c r="D5" s="15" t="str">
        <x:v>No field energizing</x:v>
      </x:c>
      <x:c r="E5" s="15" t="str">
        <x:v>Photos/tags → manuals → routes → signal list</x:v>
      </x:c>
      <x:c r="F5" s="15" t="str">
        <x:v>Every unknown in Hardware mapped; no guessed coil voltage/crossover</x:v>
      </x:c>
      <x:c r="G5" s="17" t="str"/>
      <x:c r="H5" s="17" t="str">
        <x:v>Not tested</x:v>
      </x:c>
    </x:row>
    <x:row r="6" ht="97.5" customHeight="1">
      <x:c r="A6" s="15" t="str">
        <x:v>P1</x:v>
      </x:c>
      <x:c r="B6" s="15" t="str">
        <x:v>1</x:v>
      </x:c>
      <x:c r="C6" s="15" t="str">
        <x:v>LED-only Uno proof</x:v>
      </x:c>
      <x:c r="D6" s="15" t="str">
        <x:v>Uno, 3 LEDs, 3 resistors, 3 buttons, 20 male-to-male wires</x:v>
      </x:c>
      <x:c r="E6" s="15" t="str">
        <x:v>Manual requests; close priority; conflict rejection; no restart</x:v>
      </x:c>
      <x:c r="F6" s="15" t="str">
        <x:v>B01-B12 pass on physical Uno; software record is separate</x:v>
      </x:c>
      <x:c r="G6" s="17" t="str"/>
      <x:c r="H6" s="17" t="str">
        <x:v>Not tested</x:v>
      </x:c>
    </x:row>
    <x:row r="7" ht="97.5" customHeight="1">
      <x:c r="A7" s="15" t="str">
        <x:v>P2</x:v>
      </x:c>
      <x:c r="B7" s="15" t="str">
        <x:v>2</x:v>
      </x:c>
      <x:c r="C7" s="15" t="str">
        <x:v>Live pressure, read-only</x:v>
      </x:c>
      <x:c r="D7" s="15" t="str">
        <x:v>Gauge supply/cable; confirmed interface; rough-range sensor if needed</x:v>
      </x:c>
      <x:c r="E7" s="15" t="str">
        <x:v>Digital valid/status/stale checks; laptop shows pressure + units</x:v>
      </x:c>
      <x:c r="F7" s="15" t="str">
        <x:v>Compare against gauge display at useful ranges; unplug and malformed data inhibit OPEN</x:v>
      </x:c>
      <x:c r="G7" s="17" t="str"/>
      <x:c r="H7" s="17" t="str">
        <x:v>Not tested</x:v>
      </x:c>
    </x:row>
    <x:row r="8" ht="97.5" customHeight="1">
      <x:c r="A8" s="15" t="str">
        <x:v>P3</x:v>
      </x:c>
      <x:c r="B8" s="15" t="str">
        <x:v>3</x:v>
      </x:c>
      <x:c r="C8" s="15" t="str">
        <x:v>One real cryo gate</x:v>
      </x:c>
      <x:c r="D8" s="15" t="str">
        <x:v>Identified actuator/pilot/driver; actual closure/open proof; cold proof; independent enable</x:v>
      </x:c>
      <x:c r="E8" s="15" t="str">
        <x:v>Request cryo OPEN only with valid pressure/cold/closed vent and no conflicts</x:v>
      </x:c>
      <x:c r="F8" s="15" t="str">
        <x:v>Actual travel succeeds; denied request never energizes; fail-close response measured</x:v>
      </x:c>
      <x:c r="G8" s="17" t="str"/>
      <x:c r="H8" s="17" t="str">
        <x:v>Not tested</x:v>
      </x:c>
    </x:row>
    <x:row r="9" ht="97.5" customHeight="1">
      <x:c r="A9" s="15" t="str">
        <x:v>P4</x:v>
      </x:c>
      <x:c r="B9" s="15" t="str">
        <x:v>4</x:v>
      </x:c>
      <x:c r="C9" s="15" t="str">
        <x:v>Controlled roughing and vent routes</x:v>
      </x:c>
      <x:c r="D9" s="15" t="str">
        <x:v>Two additional actuated vacuum paths; feedback; pump proof; controlled vent; filament status</x:v>
      </x:c>
      <x:c r="E9" s="15" t="str">
        <x:v>All active chamber routes covered; remove/prove manual bypasses</x:v>
      </x:c>
      <x:c r="F9" s="15" t="str">
        <x:v>No vent until all pump valves physically closed and filament confirmed OFF; no pump OPEN while vent open</x:v>
      </x:c>
      <x:c r="G9" s="17" t="str"/>
      <x:c r="H9" s="17" t="str">
        <x:v>Not tested</x:v>
      </x:c>
    </x:row>
    <x:row r="10" ht="97.5" customHeight="1">
      <x:c r="A10" s="15" t="str">
        <x:v>P5</x:v>
      </x:c>
      <x:c r="B10" s="15" t="str">
        <x:v>5</x:v>
      </x:c>
      <x:c r="C10" s="15" t="str">
        <x:v>Standalone automatic controller</x:v>
      </x:c>
      <x:c r="D10" s="15" t="str">
        <x:v>Secured wiring/enclosure; logic supply; controls; validated field inventory</x:v>
      </x:c>
      <x:c r="E10" s="15" t="str">
        <x:v>Deterministic state machine with motion timeouts, fault latch and fresh request after reset</x:v>
      </x:c>
      <x:c r="F10" s="15" t="str">
        <x:v>Repeat pumpdown and vent cycles; pass fault matrix; operate with laptop removed</x:v>
      </x:c>
      <x:c r="G10" s="17" t="str"/>
      <x:c r="H10" s="17" t="str">
        <x:v>Not tested</x:v>
      </x:c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 ht="31.5" customHeight="1">
      <x:c r="A13" s="23" t="str">
        <x:v>ID</x:v>
      </x:c>
      <x:c r="B13" s="23" t="str">
        <x:v>Phase</x:v>
      </x:c>
      <x:c r="C13" s="23" t="str">
        <x:v>Fault / condition</x:v>
      </x:c>
      <x:c r="D13" s="23" t="str">
        <x:v>Required response</x:v>
      </x:c>
      <x:c r="E13" s="23" t="str">
        <x:v>How to demonstrate</x:v>
      </x:c>
      <x:c r="F13" s="23" t="str">
        <x:v>Evidence / date / operator</x:v>
      </x:c>
      <x:c r="G13" s="23" t="str">
        <x:v>Result</x:v>
      </x:c>
      <x:c r="H13" s="15"/>
    </x:row>
    <x:row r="14" ht="84.75" customHeight="1">
      <x:c r="A14" s="15" t="str">
        <x:v>T01</x:v>
      </x:c>
      <x:c r="B14" s="15" t="str">
        <x:v>1–5</x:v>
      </x:c>
      <x:c r="C14" s="15" t="str">
        <x:v>Vent and cryo/rough OPEN requested together</x:v>
      </x:c>
      <x:c r="D14" s="15" t="str">
        <x:v>Reject all competing OPEN requests; latch fault; closure priority</x:v>
      </x:c>
      <x:c r="E14" s="15" t="str">
        <x:v>Use contacts first, actual valves at final acceptance</x:v>
      </x:c>
      <x:c r="F14" s="17" t="str"/>
      <x:c r="G14" s="17" t="str">
        <x:v>Not tested</x:v>
      </x:c>
      <x:c r="H14" s="15"/>
    </x:row>
    <x:row r="15" ht="84.75" customHeight="1">
      <x:c r="A15" s="15" t="str">
        <x:v>T02</x:v>
      </x:c>
      <x:c r="B15" s="15" t="str">
        <x:v>1–5</x:v>
      </x:c>
      <x:c r="C15" s="15" t="str">
        <x:v>Request held during power return/reset</x:v>
      </x:c>
      <x:c r="D15" s="15" t="str">
        <x:v>Remain disarmed; require release, re-arm and fresh request</x:v>
      </x:c>
      <x:c r="E15" s="15" t="str">
        <x:v>Power-cycle MCU and field supply separately</x:v>
      </x:c>
      <x:c r="F15" s="17" t="str"/>
      <x:c r="G15" s="17" t="str">
        <x:v>Not tested</x:v>
      </x:c>
      <x:c r="H15" s="15"/>
    </x:row>
    <x:row r="16" ht="84.75" customHeight="1">
      <x:c r="A16" s="15" t="str">
        <x:v>T03</x:v>
      </x:c>
      <x:c r="B16" s="15" t="str">
        <x:v>2–5</x:v>
      </x:c>
      <x:c r="C16" s="15" t="str">
        <x:v>Gauge unplugged / invalid or stale pressure</x:v>
      </x:c>
      <x:c r="D16" s="15" t="str">
        <x:v>Inhibit high-vacuum OPEN; fault active operation per approved close policy</x:v>
      </x:c>
      <x:c r="E16" s="15" t="str">
        <x:v>Disconnect serial; inject malformed/out-of-range messages</x:v>
      </x:c>
      <x:c r="F16" s="17" t="str"/>
      <x:c r="G16" s="17" t="str">
        <x:v>Not tested</x:v>
      </x:c>
      <x:c r="H16" s="15"/>
    </x:row>
    <x:row r="17" ht="84.75" customHeight="1">
      <x:c r="A17" s="15" t="str">
        <x:v>T04</x:v>
      </x:c>
      <x:c r="B17" s="15" t="str">
        <x:v>3–5</x:v>
      </x:c>
      <x:c r="C17" s="15" t="str">
        <x:v>Cryopump cold-ready lost</x:v>
      </x:c>
      <x:c r="D17" s="15" t="str">
        <x:v>No new cryo OPEN; command isolation and fault</x:v>
      </x:c>
      <x:c r="E17" s="15" t="str">
        <x:v>Use real ready signal with controlled test method</x:v>
      </x:c>
      <x:c r="F17" s="17" t="str"/>
      <x:c r="G17" s="17" t="str">
        <x:v>Not tested</x:v>
      </x:c>
      <x:c r="H17" s="15"/>
    </x:row>
    <x:row r="18" ht="84.75" customHeight="1">
      <x:c r="A18" s="15" t="str">
        <x:v>T05</x:v>
      </x:c>
      <x:c r="B18" s="15" t="str">
        <x:v>3–5</x:v>
      </x:c>
      <x:c r="C18" s="15" t="str">
        <x:v>Position signal missing or contradictory</x:v>
      </x:c>
      <x:c r="D18" s="15" t="str">
        <x:v>Never assume closure; inhibit vent; motion timeout/fault</x:v>
      </x:c>
      <x:c r="E18" s="15" t="str">
        <x:v>Remove contact; simulate both endpoints; verify electrical disconnect handling</x:v>
      </x:c>
      <x:c r="F18" s="17" t="str"/>
      <x:c r="G18" s="17" t="str">
        <x:v>Not tested</x:v>
      </x:c>
      <x:c r="H18" s="15"/>
    </x:row>
    <x:row r="19" ht="84.75" customHeight="1">
      <x:c r="A19" s="15" t="str">
        <x:v>T06</x:v>
      </x:c>
      <x:c r="B19" s="15" t="str">
        <x:v>3–5</x:v>
      </x:c>
      <x:c r="C19" s="15" t="str">
        <x:v>Actuation air lost</x:v>
      </x:c>
      <x:c r="D19" s="15" t="str">
        <x:v>Observed response matches designed closing provision; no OPEN enable</x:v>
      </x:c>
      <x:c r="E19" s="15" t="str">
        <x:v>Measure real motion, do not infer from coil LED</x:v>
      </x:c>
      <x:c r="F19" s="17" t="str"/>
      <x:c r="G19" s="17" t="str">
        <x:v>Not tested</x:v>
      </x:c>
      <x:c r="H19" s="15"/>
    </x:row>
    <x:row r="20" ht="84.75" customHeight="1">
      <x:c r="A20" s="15" t="str">
        <x:v>T07</x:v>
      </x:c>
      <x:c r="B20" s="15" t="str">
        <x:v>3–5</x:v>
      </x:c>
      <x:c r="C20" s="15" t="str">
        <x:v>MCU stops / I2C driver stalls</x:v>
      </x:c>
      <x:c r="D20" s="15" t="str">
        <x:v>External enable removes OPEN drive; actual actuator closes as designed</x:v>
      </x:c>
      <x:c r="E20" s="15" t="str">
        <x:v>I2C outputs can latch; watchdog must not be fed by failed control path</x:v>
      </x:c>
      <x:c r="F20" s="17" t="str"/>
      <x:c r="G20" s="17" t="str">
        <x:v>Not tested</x:v>
      </x:c>
      <x:c r="H20" s="15"/>
    </x:row>
    <x:row r="21" ht="84.75" customHeight="1">
      <x:c r="A21" s="15" t="str">
        <x:v>T08</x:v>
      </x:c>
      <x:c r="B21" s="15" t="str">
        <x:v>4–5</x:v>
      </x:c>
      <x:c r="C21" s="15" t="str">
        <x:v>Rough pump ready lost</x:v>
      </x:c>
      <x:c r="D21" s="15" t="str">
        <x:v>No new rough OPEN; isolate active rough route and fault</x:v>
      </x:c>
      <x:c r="E21" s="15" t="str">
        <x:v>Use actual proof source, not software command echo</x:v>
      </x:c>
      <x:c r="F21" s="17" t="str"/>
      <x:c r="G21" s="17" t="str">
        <x:v>Not tested</x:v>
      </x:c>
      <x:c r="H21" s="15"/>
    </x:row>
    <x:row r="22" ht="84.75" customHeight="1">
      <x:c r="A22" s="15" t="str">
        <x:v>T09</x:v>
      </x:c>
      <x:c r="B22" s="15" t="str">
        <x:v>4–5</x:v>
      </x:c>
      <x:c r="C22" s="15" t="str">
        <x:v>Filament OFF command has no confirmation</x:v>
      </x:c>
      <x:c r="D22" s="15" t="str">
        <x:v>Vent remains denied</x:v>
      </x:c>
      <x:c r="E22" s="15" t="str">
        <x:v>Check real gauge OFF status and supported control ownership</x:v>
      </x:c>
      <x:c r="F22" s="17" t="str"/>
      <x:c r="G22" s="17" t="str">
        <x:v>Not tested</x:v>
      </x:c>
      <x:c r="H22" s="15"/>
    </x:row>
    <x:row r="23" ht="84.75" customHeight="1">
      <x:c r="A23" s="15" t="str">
        <x:v>T10</x:v>
      </x:c>
      <x:c r="B23" s="15" t="str">
        <x:v>4–5</x:v>
      </x:c>
      <x:c r="C23" s="15" t="str">
        <x:v>Valve does not reach requested position in time</x:v>
      </x:c>
      <x:c r="D23" s="15" t="str">
        <x:v>Latch fault; no next sequence step; never vent on commanded closure alone</x:v>
      </x:c>
      <x:c r="E23" s="15" t="str">
        <x:v>Demonstrate with safe controlled test setup</x:v>
      </x:c>
      <x:c r="F23" s="17" t="str"/>
      <x:c r="G23" s="17" t="str">
        <x:v>Not tested</x:v>
      </x:c>
      <x:c r="H23" s="15"/>
    </x:row>
    <x:row r="24" ht="84.75" customHeight="1">
      <x:c r="A24" s="15" t="str">
        <x:v>T11</x:v>
      </x:c>
      <x:c r="B24" s="15" t="str">
        <x:v>4–5</x:v>
      </x:c>
      <x:c r="C24" s="15" t="str">
        <x:v>Pressure crosses approved operating limit</x:v>
      </x:c>
      <x:c r="D24" s="15" t="str">
        <x:v>Trip action and hysteresis match pump/valve OEM limits</x:v>
      </x:c>
      <x:c r="E24" s="15" t="str">
        <x:v>Bench inject pressure first; field testing within approved envelope</x:v>
      </x:c>
      <x:c r="F24" s="17" t="str"/>
      <x:c r="G24" s="17" t="str">
        <x:v>Not tested</x:v>
      </x:c>
      <x:c r="H24" s="15"/>
    </x:row>
    <x:row r="25" ht="84.75" customHeight="1">
      <x:c r="A25" s="15" t="str">
        <x:v>T12</x:v>
      </x:c>
      <x:c r="B25" s="15" t="str">
        <x:v>5</x:v>
      </x:c>
      <x:c r="C25" s="15" t="str">
        <x:v>Laptop/display disconnected or stalled</x:v>
      </x:c>
      <x:c r="D25" s="15" t="str">
        <x:v>Uno keeps interlocks/closure running; sequence behavior per selected mode</x:v>
      </x:c>
      <x:c r="E25" s="15" t="str">
        <x:v>Standalone supply and physical controls; logs optional</x:v>
      </x:c>
      <x:c r="F25" s="17" t="str"/>
      <x:c r="G25" s="17" t="str">
        <x:v>Not tested</x:v>
      </x:c>
      <x:c r="H25" s="15"/>
    </x:row>
    <x:row r="26" ht="84.75" customHeight="1">
      <x:c r="A26" s="15" t="str">
        <x:v>T13</x:v>
      </x:c>
      <x:c r="B26" s="15" t="str">
        <x:v>5</x:v>
      </x:c>
      <x:c r="C26" s="15" t="str">
        <x:v>Manual handwheel/bypass changed</x:v>
      </x:c>
      <x:c r="D26" s="15" t="str">
        <x:v>Physical bypass cannot defeat intended interlock in final architecture</x:v>
      </x:c>
      <x:c r="E26" s="15" t="str">
        <x:v>Remove, lock with appropriate mechanism, or redesign; alarm alone insufficient</x:v>
      </x:c>
      <x:c r="F26" s="17" t="str"/>
      <x:c r="G26" s="17" t="str">
        <x:v>Not tested</x:v>
      </x:c>
      <x:c r="H26" s="15"/>
    </x:row>
    <x:row r="27" ht="84.75" customHeight="1">
      <x:c r="A27" s="15" t="str">
        <x:v>T14</x:v>
      </x:c>
      <x:c r="B27" s="15" t="str">
        <x:v>5</x:v>
      </x:c>
      <x:c r="C27" s="15" t="str">
        <x:v>Pumpdown + vent cycle repeated</x:v>
      </x:c>
      <x:c r="D27" s="15" t="str">
        <x:v>No unintended overlap; thresholds/timeouts documented; return to safe idle</x:v>
      </x:c>
      <x:c r="E27" s="15" t="str">
        <x:v>Record pressure, actual valve feedback and timings; review before MAIZE transfer</x:v>
      </x:c>
      <x:c r="F27" s="17" t="str"/>
      <x:c r="G27" s="17" t="str">
        <x:v>Not tested</x:v>
      </x:c>
      <x:c r="H27" s="15"/>
    </x:row>
  </x:sheetData>
  <x:mergeCells>
    <x:mergeCell ref="A1:F1"/>
    <x:mergeCell ref="A2:F2"/>
  </x:mergeCells>
  <x:dataValidations count="2">
    <x:dataValidation type="list" sqref="H5:H10">
      <x:formula1>"Not tested,Pass,Fail,Blocked"</x:formula1>
    </x:dataValidation>
    <x:dataValidation type="list" sqref="G14:G27">
      <x:formula1>"Not tested,Pass,Fail,Blocked"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2ae36a2245794925"/>
    <x:tablePart xmlns:r="http://schemas.openxmlformats.org/officeDocument/2006/relationships" r:id="R0ff7329794244ceb"/>
  </x:tableParts>
</x:worksheet>
</file>